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_-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1"/>
    <xf numFmtId="0" fontId="2" fillId="0" borderId="1" applyAlignment="1">
      <alignment vertical="top" wrapText="1"/>
    </xf>
    <xf numFmtId="164" fontId="2" fillId="0" borderId="1" applyAlignment="1">
      <alignment vertical="top" wrapText="1"/>
    </xf>
    <xf numFmtId="165" fontId="2" fillId="0" borderId="1" applyAlignment="1">
      <alignment vertical="top" wrapText="1"/>
    </xf>
    <xf numFmtId="166" fontId="2" fillId="0" borderId="1" applyAlignment="1">
      <alignment vertical="top" wrapText="1"/>
    </xf>
  </cellStyleXfs>
  <cellXfs count="9">
    <xf numFmtId="0" fontId="0" fillId="0" borderId="0" pivotButton="0" quotePrefix="0" xfId="0"/>
    <xf numFmtId="0" fontId="1" fillId="0" borderId="1" pivotButton="0" quotePrefix="0" xfId="1"/>
    <xf numFmtId="0" fontId="2" fillId="0" borderId="1" applyAlignment="1" pivotButton="0" quotePrefix="0" xfId="2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</cellXfs>
  <cellStyles count="6">
    <cellStyle name="Normal" xfId="0" builtinId="0" hidden="0"/>
    <cellStyle name="mr_header" xfId="1" hidden="0"/>
    <cellStyle name="mr_normal" xfId="2" hidden="0"/>
    <cellStyle name="mr_date" xfId="3" hidden="0"/>
    <cellStyle name="mr_currency" xfId="4" hidden="0"/>
    <cellStyle name="mr_datetim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Report</t>
        </is>
      </c>
      <c r="B1" s="2" t="inlineStr">
        <is>
          <t>favorte</t>
        </is>
      </c>
    </row>
    <row r="2">
      <c r="A2" s="1" t="inlineStr">
        <is>
          <t>URL</t>
        </is>
      </c>
      <c r="B2" s="2">
        <f>HYPERLINK("https://particle-agency.muckrack.com/coverage-reports/gMXl/edit/")</f>
        <v/>
      </c>
    </row>
    <row r="3">
      <c r="A3" s="1" t="inlineStr">
        <is>
          <t>Exported On</t>
        </is>
      </c>
      <c r="B3" s="6" t="n">
        <v>46083</v>
      </c>
    </row>
    <row r="4">
      <c r="A4" s="1" t="inlineStr">
        <is>
          <t>Generated By</t>
        </is>
      </c>
      <c r="B4" s="2" t="inlineStr">
        <is>
          <t>Ieva Mackeviciute</t>
        </is>
      </c>
    </row>
    <row r="6">
      <c r="A6" s="1" t="inlineStr">
        <is>
          <t>Links</t>
        </is>
      </c>
      <c r="B6" s="2" t="n">
        <v>3</v>
      </c>
    </row>
    <row r="7">
      <c r="A7" s="1" t="inlineStr">
        <is>
          <t>Total Engagement</t>
        </is>
      </c>
      <c r="B7" s="2" t="n">
        <v>0</v>
      </c>
    </row>
    <row r="8">
      <c r="A8" s="1" t="inlineStr">
        <is>
          <t>Average Engagement</t>
        </is>
      </c>
      <c r="B8" s="2" t="n">
        <v>0</v>
      </c>
    </row>
    <row r="9">
      <c r="A9" s="1" t="inlineStr">
        <is>
          <t>Total UVM (Insights by Similarweb)</t>
        </is>
      </c>
      <c r="B9" s="2" t="n">
        <v>161887</v>
      </c>
    </row>
    <row r="10">
      <c r="A10" s="1" t="inlineStr">
        <is>
          <t>Total AVE</t>
        </is>
      </c>
      <c r="B10" s="7" t="n">
        <v>1497.45</v>
      </c>
    </row>
    <row r="11">
      <c r="A11" s="1" t="inlineStr">
        <is>
          <t>Total Journalist Shares</t>
        </is>
      </c>
      <c r="B11" s="2" t="n">
        <v>0</v>
      </c>
    </row>
    <row r="12">
      <c r="A12" s="1" t="inlineStr">
        <is>
          <t>Total Journalist Reach</t>
        </is>
      </c>
      <c r="B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4" customWidth="1" min="3" max="3"/>
    <col width="24" customWidth="1" min="4" max="4"/>
    <col width="19" customWidth="1" min="5" max="5"/>
    <col width="48" customWidth="1" min="6" max="6"/>
    <col width="28" customWidth="1" min="7" max="7"/>
    <col width="17" customWidth="1" min="8" max="8"/>
    <col width="16" customWidth="1" min="9" max="9"/>
    <col width="16" customWidth="1" min="10" max="10"/>
    <col width="13" customWidth="1" min="11" max="11"/>
    <col width="17" customWidth="1" min="12" max="12"/>
    <col width="19" customWidth="1" min="13" max="13"/>
    <col width="24" customWidth="1" min="14" max="14"/>
    <col width="29" customWidth="1" min="15" max="15"/>
    <col width="34" customWidth="1" min="16" max="16"/>
    <col width="24" customWidth="1" min="17" max="17"/>
  </cols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</row>
    <row r="2">
      <c r="A2" s="2" t="inlineStr">
        <is>
          <t>Kinnisvaraturu uus hitt muutis mängureegleid</t>
        </is>
      </c>
      <c r="B2" s="2">
        <f>HYPERLINK("https://www.city24.ee/real-estate-news-story/21931/kinnisvaraturu-uus-hitt-muutis-mangureegleid")</f>
        <v/>
      </c>
      <c r="C2" s="2" t="inlineStr"/>
      <c r="D2" s="2" t="inlineStr">
        <is>
          <t>city24.ee</t>
        </is>
      </c>
      <c r="E2" s="8" t="n">
        <v>46076.20833333334</v>
      </c>
      <c r="F2" s="2" t="inlineStr">
        <is>
          <t>Foto: Favorte</t>
        </is>
      </c>
      <c r="G2" s="2" t="n">
        <v>154343</v>
      </c>
      <c r="H2" s="2" t="n"/>
      <c r="I2" s="2" t="n"/>
      <c r="J2" s="2" t="n"/>
      <c r="K2" s="2" t="n"/>
      <c r="L2" s="2" t="inlineStr"/>
      <c r="M2" s="2" t="inlineStr"/>
      <c r="N2" s="2" t="inlineStr">
        <is>
          <t>United States of America</t>
        </is>
      </c>
      <c r="O2" s="7" t="n">
        <v>1427.67</v>
      </c>
      <c r="P2" s="2" t="n">
        <v>42</v>
      </c>
      <c r="Q2" s="2" t="n"/>
    </row>
    <row r="3">
      <c r="A3" s="2" t="inlineStr">
        <is>
          <t>Ostulainel Favorte REIF saavutas ootuspärase 8%-tootluse</t>
        </is>
      </c>
      <c r="B3" s="2">
        <f>HYPERLINK("https://www.kinnisvarauudised.ee/uudised/2026/02/23/ostulainel-favorte-reif-saavutas-ootusparase-8-tootluse")</f>
        <v/>
      </c>
      <c r="C3" s="2" t="inlineStr"/>
      <c r="D3" s="2" t="inlineStr">
        <is>
          <t>Kinnisvarauudised.ee</t>
        </is>
      </c>
      <c r="E3" s="8" t="n">
        <v>46076</v>
      </c>
      <c r="F3" s="2" t="inlineStr">
        <is>
          <t>Kinnisvarafond Favorte REIF teatas osanikele, et fondi 2025. aasta puhastootlus ehk IRR oli 8 protsenti.
Favorte uus stock-office hoone läks kiirelt kaubaks.
Foto: Favorte Favorte REIFi juhtiva Hendri Hinno sõnul oli tegemist eduka aastaga.</t>
        </is>
      </c>
      <c r="G3" s="2" t="n">
        <v>3772</v>
      </c>
      <c r="H3" s="2" t="n"/>
      <c r="I3" s="2" t="n"/>
      <c r="J3" s="2" t="n"/>
      <c r="K3" s="2" t="n"/>
      <c r="L3" s="2" t="inlineStr"/>
      <c r="M3" s="2" t="inlineStr"/>
      <c r="N3" s="2" t="inlineStr">
        <is>
          <t>Estonia</t>
        </is>
      </c>
      <c r="O3" s="7" t="n">
        <v>34.89</v>
      </c>
      <c r="P3" s="2" t="n">
        <v>35</v>
      </c>
      <c r="Q3" s="2" t="n"/>
    </row>
    <row r="4">
      <c r="A4" s="2" t="inlineStr">
        <is>
          <t>Favorte Tähetorni arendusest pool valmis ja uus hoone väljaüüritud</t>
        </is>
      </c>
      <c r="B4" s="2">
        <f>HYPERLINK("https://www.kinnisvarauudised.ee/uudised/2026/02/05/favorte-tahetorni-arendusest-pool-valmis-ja-uus-hoone-valjauuritud")</f>
        <v/>
      </c>
      <c r="C4" s="2" t="inlineStr"/>
      <c r="D4" s="2" t="inlineStr">
        <is>
          <t>Kinnisvarauudised.ee</t>
        </is>
      </c>
      <c r="E4" s="8" t="n">
        <v>46058</v>
      </c>
      <c r="F4" s="2" t="inlineStr">
        <is>
          <t>Härgmäe 20 stock-office hoone projekteeris arhitektuuribüroo Novarc Group AS ning ehitas Favorte pikaaegne ehituspartner Mitt&amp;Perlebach.
Favorte uus stock-office hoone läks kiirelt kaubaks.</t>
        </is>
      </c>
      <c r="G4" s="2" t="n">
        <v>3772</v>
      </c>
      <c r="H4" s="2" t="n"/>
      <c r="I4" s="2" t="n"/>
      <c r="J4" s="2" t="n"/>
      <c r="K4" s="2" t="n"/>
      <c r="L4" s="2" t="inlineStr"/>
      <c r="M4" s="2" t="inlineStr"/>
      <c r="N4" s="2" t="inlineStr">
        <is>
          <t>Estonia</t>
        </is>
      </c>
      <c r="O4" s="7" t="n">
        <v>34.89</v>
      </c>
      <c r="P4" s="2" t="n">
        <v>35</v>
      </c>
      <c r="Q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2026-03-02T08:08:01Z</dcterms:created>
  <dcterms:modified xmlns:dcterms="http://purl.org/dc/terms/" xmlns:xsi="http://www.w3.org/2001/XMLSchema-instance" xsi:type="dcterms:W3CDTF">2026-03-02T08:08:01Z</dcterms:modified>
</cp:coreProperties>
</file>