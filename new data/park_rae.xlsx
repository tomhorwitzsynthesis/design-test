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Summary" sheetId="1" state="visible" r:id="rId1"/>
    <sheet xmlns:r="http://schemas.openxmlformats.org/officeDocument/2006/relationships" name="Articles" sheetId="2" state="visible" r:id="rId2"/>
  </sheets>
  <definedNames/>
  <calcPr calcId="124519" fullCalcOnLoad="1"/>
</workbook>
</file>

<file path=xl/styles.xml><?xml version="1.0" encoding="utf-8"?>
<styleSheet xmlns="http://schemas.openxmlformats.org/spreadsheetml/2006/main">
  <numFmts count="3">
    <numFmt numFmtId="164" formatCode="YYYY-mm-dd"/>
    <numFmt numFmtId="165" formatCode="&quot;$&quot;#,##0.00_-"/>
    <numFmt numFmtId="166" formatCode="YYYY-mm-dd HH:MM:SS"/>
  </numFmts>
  <fonts count="3">
    <font>
      <name val="Calibri"/>
      <family val="2"/>
      <color theme="1"/>
      <sz val="11"/>
      <scheme val="minor"/>
    </font>
    <font>
      <name val="Arial"/>
      <b val="1"/>
      <sz val="10"/>
    </font>
    <font>
      <name val="Arial"/>
      <sz val="10"/>
    </font>
  </fonts>
  <fills count="2">
    <fill>
      <patternFill/>
    </fill>
    <fill>
      <patternFill patternType="gray125"/>
    </fill>
  </fills>
  <borders count="2">
    <border>
      <left/>
      <right/>
      <top/>
      <bottom/>
      <diagonal/>
    </border>
    <border/>
  </borders>
  <cellStyleXfs count="6">
    <xf numFmtId="0" fontId="0" fillId="0" borderId="0"/>
    <xf numFmtId="0" fontId="1" fillId="0" borderId="1"/>
    <xf numFmtId="0" fontId="2" fillId="0" borderId="1" applyAlignment="1">
      <alignment vertical="top" wrapText="1"/>
    </xf>
    <xf numFmtId="164" fontId="2" fillId="0" borderId="1" applyAlignment="1">
      <alignment vertical="top" wrapText="1"/>
    </xf>
    <xf numFmtId="165" fontId="2" fillId="0" borderId="1" applyAlignment="1">
      <alignment vertical="top" wrapText="1"/>
    </xf>
    <xf numFmtId="166" fontId="2" fillId="0" borderId="1" applyAlignment="1">
      <alignment vertical="top" wrapText="1"/>
    </xf>
  </cellStyleXfs>
  <cellXfs count="9">
    <xf numFmtId="0" fontId="0" fillId="0" borderId="0" pivotButton="0" quotePrefix="0" xfId="0"/>
    <xf numFmtId="0" fontId="1" fillId="0" borderId="1" pivotButton="0" quotePrefix="0" xfId="1"/>
    <xf numFmtId="0" fontId="2" fillId="0" borderId="1" applyAlignment="1" pivotButton="0" quotePrefix="0" xfId="2">
      <alignment vertical="top" wrapText="1"/>
    </xf>
    <xf numFmtId="164" fontId="2" fillId="0" borderId="1" applyAlignment="1" pivotButton="0" quotePrefix="0" xfId="3">
      <alignment vertical="top" wrapText="1"/>
    </xf>
    <xf numFmtId="165" fontId="2" fillId="0" borderId="1" applyAlignment="1" pivotButton="0" quotePrefix="0" xfId="4">
      <alignment vertical="top" wrapText="1"/>
    </xf>
    <xf numFmtId="166" fontId="2" fillId="0" borderId="1" applyAlignment="1" pivotButton="0" quotePrefix="0" xfId="5">
      <alignment vertical="top" wrapText="1"/>
    </xf>
    <xf numFmtId="164" fontId="2" fillId="0" borderId="1" applyAlignment="1" pivotButton="0" quotePrefix="0" xfId="3">
      <alignment vertical="top" wrapText="1"/>
    </xf>
    <xf numFmtId="165" fontId="2" fillId="0" borderId="1" applyAlignment="1" pivotButton="0" quotePrefix="0" xfId="4">
      <alignment vertical="top" wrapText="1"/>
    </xf>
    <xf numFmtId="166" fontId="2" fillId="0" borderId="1" applyAlignment="1" pivotButton="0" quotePrefix="0" xfId="5">
      <alignment vertical="top" wrapText="1"/>
    </xf>
  </cellXfs>
  <cellStyles count="6">
    <cellStyle name="Normal" xfId="0" builtinId="0" hidden="0"/>
    <cellStyle name="mr_header" xfId="1" hidden="0"/>
    <cellStyle name="mr_normal" xfId="2" hidden="0"/>
    <cellStyle name="mr_date" xfId="3" hidden="0"/>
    <cellStyle name="mr_currency" xfId="4" hidden="0"/>
    <cellStyle name="mr_datetime" xfId="5"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32" customWidth="1" min="2" max="2"/>
  </cols>
  <sheetData>
    <row r="1">
      <c r="A1" s="1" t="inlineStr">
        <is>
          <t>Report</t>
        </is>
      </c>
      <c r="B1" s="2" t="inlineStr">
        <is>
          <t>Park Rae</t>
        </is>
      </c>
    </row>
    <row r="2">
      <c r="A2" s="1" t="inlineStr">
        <is>
          <t>URL</t>
        </is>
      </c>
      <c r="B2" s="2">
        <f>HYPERLINK("https://particle-agency.muckrack.com/coverage-reports/gMX6/edit/")</f>
        <v/>
      </c>
    </row>
    <row r="3">
      <c r="A3" s="1" t="inlineStr">
        <is>
          <t>Exported On</t>
        </is>
      </c>
      <c r="B3" s="6" t="n">
        <v>46083</v>
      </c>
    </row>
    <row r="4">
      <c r="A4" s="1" t="inlineStr">
        <is>
          <t>Generated By</t>
        </is>
      </c>
      <c r="B4" s="2" t="inlineStr">
        <is>
          <t>Ieva Mackeviciute</t>
        </is>
      </c>
    </row>
    <row r="6">
      <c r="A6" s="1" t="inlineStr">
        <is>
          <t>Links</t>
        </is>
      </c>
      <c r="B6" s="2" t="n">
        <v>8</v>
      </c>
    </row>
    <row r="7">
      <c r="A7" s="1" t="inlineStr">
        <is>
          <t>Total Engagement</t>
        </is>
      </c>
      <c r="B7" s="2" t="n">
        <v>0</v>
      </c>
    </row>
    <row r="8">
      <c r="A8" s="1" t="inlineStr">
        <is>
          <t>Average Engagement</t>
        </is>
      </c>
      <c r="B8" s="2" t="n">
        <v>0</v>
      </c>
    </row>
    <row r="9">
      <c r="A9" s="1" t="inlineStr">
        <is>
          <t>Total UVM (Insights by Similarweb)</t>
        </is>
      </c>
      <c r="B9" s="2" t="n">
        <v>856349</v>
      </c>
    </row>
    <row r="10">
      <c r="A10" s="1" t="inlineStr">
        <is>
          <t>Total AVE</t>
        </is>
      </c>
      <c r="B10" s="7" t="n">
        <v>7921.21</v>
      </c>
    </row>
    <row r="11">
      <c r="A11" s="1" t="inlineStr">
        <is>
          <t>Total Journalist Shares</t>
        </is>
      </c>
      <c r="B11" s="2" t="n">
        <v>0</v>
      </c>
    </row>
    <row r="12">
      <c r="A12" s="1" t="inlineStr">
        <is>
          <t>Total Journalist Reach</t>
        </is>
      </c>
      <c r="B12" s="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9"/>
  <sheetViews>
    <sheetView workbookViewId="0">
      <selection activeCell="A1" sqref="A1"/>
    </sheetView>
  </sheetViews>
  <sheetFormatPr baseColWidth="8" defaultRowHeight="15"/>
  <cols>
    <col width="48" customWidth="1" min="1" max="1"/>
    <col width="32" customWidth="1" min="2" max="2"/>
    <col width="24" customWidth="1" min="3" max="3"/>
    <col width="24" customWidth="1" min="4" max="4"/>
    <col width="19" customWidth="1" min="5" max="5"/>
    <col width="48" customWidth="1" min="6" max="6"/>
    <col width="28" customWidth="1" min="7" max="7"/>
    <col width="17" customWidth="1" min="8" max="8"/>
    <col width="16" customWidth="1" min="9" max="9"/>
    <col width="16" customWidth="1" min="10" max="10"/>
    <col width="13" customWidth="1" min="11" max="11"/>
    <col width="17" customWidth="1" min="12" max="12"/>
    <col width="19" customWidth="1" min="13" max="13"/>
    <col width="24" customWidth="1" min="14" max="14"/>
    <col width="29" customWidth="1" min="15" max="15"/>
    <col width="34" customWidth="1" min="16" max="16"/>
    <col width="24" customWidth="1" min="17" max="17"/>
  </cols>
  <sheetData>
    <row r="1">
      <c r="A1" s="1" t="inlineStr">
        <is>
          <t>Article</t>
        </is>
      </c>
      <c r="B1" s="1" t="inlineStr">
        <is>
          <t>URL</t>
        </is>
      </c>
      <c r="C1" s="1" t="inlineStr">
        <is>
          <t>Author</t>
        </is>
      </c>
      <c r="D1" s="1" t="inlineStr">
        <is>
          <t>Media Outlet</t>
        </is>
      </c>
      <c r="E1" s="1" t="inlineStr">
        <is>
          <t>Published</t>
        </is>
      </c>
      <c r="F1" s="1" t="inlineStr">
        <is>
          <t>Snippet</t>
        </is>
      </c>
      <c r="G1" s="1" t="inlineStr">
        <is>
          <t>UVM (Insights by Similarweb)</t>
        </is>
      </c>
      <c r="H1" s="1" t="inlineStr">
        <is>
          <t>Journalist Shares</t>
        </is>
      </c>
      <c r="I1" s="1" t="inlineStr">
        <is>
          <t>Journalist Reach</t>
        </is>
      </c>
      <c r="J1" s="1" t="inlineStr">
        <is>
          <t>Total Engagement</t>
        </is>
      </c>
      <c r="K1" s="1" t="inlineStr">
        <is>
          <t>Sentiment</t>
        </is>
      </c>
      <c r="L1" s="1" t="inlineStr">
        <is>
          <t>Media Outlet City</t>
        </is>
      </c>
      <c r="M1" s="1" t="inlineStr">
        <is>
          <t>Media Outlet Region</t>
        </is>
      </c>
      <c r="N1" s="1" t="inlineStr">
        <is>
          <t>Media Outlet Country</t>
        </is>
      </c>
      <c r="O1" s="1" t="inlineStr">
        <is>
          <t>Advertising Value Equivalency</t>
        </is>
      </c>
      <c r="P1" s="1" t="inlineStr">
        <is>
          <t>Domain Authority (provided by Moz)</t>
        </is>
      </c>
      <c r="Q1" s="1" t="inlineStr">
        <is>
          <t>Pitch Placement</t>
        </is>
      </c>
    </row>
    <row r="2">
      <c r="A2" s="2" t="inlineStr">
        <is>
          <t>Nordecon ehitab 12 miljoniga Tallinna Veele uue hoone</t>
        </is>
      </c>
      <c r="B2" s="2">
        <f>HYPERLINK("https://www.aripaev.ee/borsiuudised/2026/02/23/nordecon-ehitab-12-miljoniga-tallinna-veele-uue-hoone")</f>
        <v/>
      </c>
      <c r="C2" s="2" t="inlineStr"/>
      <c r="D2" s="2" t="inlineStr">
        <is>
          <t>Äripäev</t>
        </is>
      </c>
      <c r="E2" s="8" t="n">
        <v>46076.11004629629</v>
      </c>
      <c r="F2" s="2" t="inlineStr">
        <is>
          <t>Seotud lood
02.02.26, 09:52
Nordecon ja East Capital Park Rae sõlmisid peatöövõtulepingu Rae valda planeeritud logistika- ja kergetööstuspargi Park Rae esimese hoone ehituseks.
05.02.26, 09:41
Aktsia -4,7%
Nordeconi käive neljandas kvartalis küll kasvas aastaga, kuid kvartal lõppes kahjumiga.</t>
        </is>
      </c>
      <c r="G2" s="2" t="n">
        <v>211196</v>
      </c>
      <c r="H2" s="2" t="n"/>
      <c r="I2" s="2" t="n"/>
      <c r="J2" s="2" t="n"/>
      <c r="K2" s="2" t="n"/>
      <c r="L2" s="2" t="inlineStr">
        <is>
          <t>Tallinn</t>
        </is>
      </c>
      <c r="M2" s="2" t="inlineStr"/>
      <c r="N2" s="2" t="inlineStr">
        <is>
          <t>Estonia</t>
        </is>
      </c>
      <c r="O2" s="7" t="n">
        <v>1953.56</v>
      </c>
      <c r="P2" s="2" t="n">
        <v>54</v>
      </c>
      <c r="Q2" s="2" t="n"/>
    </row>
    <row r="3">
      <c r="A3" s="2" t="inlineStr">
        <is>
          <t>Nordecon lõpetas neljanda kvartali kahjumiga</t>
        </is>
      </c>
      <c r="B3" s="2">
        <f>HYPERLINK("https://www.aripaev.ee/borsiuudised/2026/02/05/nordecon-lopetas-neljanda-kvartali-kahjumiga")</f>
        <v/>
      </c>
      <c r="C3" s="2" t="inlineStr"/>
      <c r="D3" s="2" t="inlineStr">
        <is>
          <t>Äripäev</t>
        </is>
      </c>
      <c r="E3" s="8" t="n">
        <v>46058.11912037037</v>
      </c>
      <c r="F3" s="2" t="inlineStr">
        <is>
          <t>Seotud lood
02.02.26, 07:52
Nordecon ja East Capital Park Rae sõlmisid peatöövõtulepingu Rae valda planeeritud logistika- ja kergetööstuspargi Park Rae esimese hoone ehituseks.
07.11.25, 07:47
Tallinna börsil noteeritud Nordeconi kontserni kuuluv Tariston sõlmis transpordiametiga tee-ehituse lepingu</t>
        </is>
      </c>
      <c r="G3" s="2" t="n">
        <v>211196</v>
      </c>
      <c r="H3" s="2" t="n"/>
      <c r="I3" s="2" t="n"/>
      <c r="J3" s="2" t="n"/>
      <c r="K3" s="2" t="n"/>
      <c r="L3" s="2" t="inlineStr">
        <is>
          <t>Tallinn</t>
        </is>
      </c>
      <c r="M3" s="2" t="inlineStr"/>
      <c r="N3" s="2" t="inlineStr">
        <is>
          <t>Estonia</t>
        </is>
      </c>
      <c r="O3" s="7" t="n">
        <v>1953.56</v>
      </c>
      <c r="P3" s="2" t="n">
        <v>54</v>
      </c>
      <c r="Q3" s="2" t="n"/>
    </row>
    <row r="4">
      <c r="A4" s="2" t="inlineStr">
        <is>
          <t>Nordecon: Ehituslepingu sõlmimine Park Rae esimese hoone rajamiseks</t>
        </is>
      </c>
      <c r="B4" s="2">
        <f>HYPERLINK("https://www.adaur.ee/nordecon-ehituslepingu-solmimine-park-rae-esimese-hoone-rajamiseks/")</f>
        <v/>
      </c>
      <c r="C4" s="2" t="inlineStr"/>
      <c r="D4" s="2" t="inlineStr">
        <is>
          <t>adaur.ee</t>
        </is>
      </c>
      <c r="E4" s="8" t="n">
        <v>46055.20840277777</v>
      </c>
      <c r="F4" s="2" t="inlineStr">
        <is>
          <t>Nordecon AS ja East Capital Park Rae OÜ sõlmisid peatöövõtulepingu Rae valda planeeritud logistika- ja kergetööstuspargi Park Rae esimese hoone ja sellega kaasnevate välialade rajamiseks aadressil Pähklimäe tee 11.</t>
        </is>
      </c>
      <c r="G4" s="2" t="n">
        <v>848</v>
      </c>
      <c r="H4" s="2" t="n"/>
      <c r="I4" s="2" t="n"/>
      <c r="J4" s="2" t="n"/>
      <c r="K4" s="2" t="n"/>
      <c r="L4" s="2" t="inlineStr">
        <is>
          <t>Tallinn</t>
        </is>
      </c>
      <c r="M4" s="2" t="inlineStr"/>
      <c r="N4" s="2" t="inlineStr">
        <is>
          <t>Estonia</t>
        </is>
      </c>
      <c r="O4" s="7" t="n">
        <v>7.84</v>
      </c>
      <c r="P4" s="2" t="n">
        <v>27</v>
      </c>
      <c r="Q4" s="2" t="n"/>
    </row>
    <row r="5">
      <c r="A5" s="2" t="inlineStr">
        <is>
          <t>Nordecon ehitab East Capitali tööstusparki Rae vallas esimese hoone</t>
        </is>
      </c>
      <c r="B5" s="2">
        <f>HYPERLINK("https://www.aripaev.ee/borsiuudised/2026/02/02/nordecon-ehitab-east-capitali-toostusparki-rae-vallas-esimese-hoone")</f>
        <v/>
      </c>
      <c r="C5" s="2" t="inlineStr"/>
      <c r="D5" s="2" t="inlineStr">
        <is>
          <t>Äripäev</t>
        </is>
      </c>
      <c r="E5" s="8" t="n">
        <v>46055.1603125</v>
      </c>
      <c r="F5" s="2" t="inlineStr">
        <is>
          <t>Nordecon ja East Capital Park Rae sõlmisid peatöövõtulepingu Rae valda planeeritud logistika- ja kergetööstuspargi Park Rae esimese hoone ehituseks.
Nodreconi objekt Ida-Virumaal: Uuskülasse rajatav loodusspaahotell.</t>
        </is>
      </c>
      <c r="G5" s="2" t="n">
        <v>211196</v>
      </c>
      <c r="H5" s="2" t="n"/>
      <c r="I5" s="2" t="n"/>
      <c r="J5" s="2" t="n"/>
      <c r="K5" s="2" t="n"/>
      <c r="L5" s="2" t="inlineStr">
        <is>
          <t>Tallinn</t>
        </is>
      </c>
      <c r="M5" s="2" t="inlineStr"/>
      <c r="N5" s="2" t="inlineStr">
        <is>
          <t>Estonia</t>
        </is>
      </c>
      <c r="O5" s="7" t="n">
        <v>1953.56</v>
      </c>
      <c r="P5" s="2" t="n">
        <v>54</v>
      </c>
      <c r="Q5" s="2" t="n"/>
    </row>
    <row r="6">
      <c r="A6" s="2" t="inlineStr">
        <is>
          <t>Nordecon: Construction contract (Park Rae first building)</t>
        </is>
      </c>
      <c r="B6" s="2">
        <f>HYPERLINK("https://www.adaur.ee/nordecon-construction-contract-park-rae-first-building/")</f>
        <v/>
      </c>
      <c r="C6" s="2" t="inlineStr"/>
      <c r="D6" s="2" t="inlineStr">
        <is>
          <t>adaur.ee</t>
        </is>
      </c>
      <c r="E6" s="8" t="n">
        <v>46055.04209490741</v>
      </c>
      <c r="F6" s="2" t="inlineStr">
        <is>
          <t>Nordecon AS and East Capital Park Rae OÜ have signed a contract for the construction of the first building and the related outdoor areas of the logistics and light industrial park Park Rae, planned in Rae municipality, located at Pähklimäe tee 11.</t>
        </is>
      </c>
      <c r="G6" s="2" t="n">
        <v>848</v>
      </c>
      <c r="H6" s="2" t="n"/>
      <c r="I6" s="2" t="n"/>
      <c r="J6" s="2" t="n"/>
      <c r="K6" s="2" t="inlineStr">
        <is>
          <t>Neutral</t>
        </is>
      </c>
      <c r="L6" s="2" t="inlineStr">
        <is>
          <t>Tallinn</t>
        </is>
      </c>
      <c r="M6" s="2" t="inlineStr"/>
      <c r="N6" s="2" t="inlineStr">
        <is>
          <t>Estonia</t>
        </is>
      </c>
      <c r="O6" s="7" t="n">
        <v>7.84</v>
      </c>
      <c r="P6" s="2" t="n">
        <v>27</v>
      </c>
      <c r="Q6" s="2" t="n"/>
    </row>
    <row r="7">
      <c r="A7" s="2" t="inlineStr">
        <is>
          <t>Nordecon ehitab Eesti suurima logistikapargi esimese hoone</t>
        </is>
      </c>
      <c r="B7" s="2">
        <f>HYPERLINK("https://www.ehitusuudised.ee/uudised/2026/02/02/nordecon-ehitab-eesti-suurima-logistikapargi-esimese-hoone")</f>
        <v/>
      </c>
      <c r="C7" s="2" t="inlineStr"/>
      <c r="D7" s="2" t="inlineStr">
        <is>
          <t>ehitusuudised.ee</t>
        </is>
      </c>
      <c r="E7" s="8" t="n">
        <v>46055</v>
      </c>
      <c r="F7" s="2" t="inlineStr">
        <is>
          <t>Kinnisvara varahaldusettevõtte AS East Capital Real Estate`i korraldatud Baltikumi ühe suurima logistika- ja kergetööstuspargi Park Rae esimese etapi ehitushankel osalesid Eesti juhtivad ehitusettevõtted, kelle hulgast osutus valituks Nordecon AS.</t>
        </is>
      </c>
      <c r="G7" s="2" t="n">
        <v>7400</v>
      </c>
      <c r="H7" s="2" t="n"/>
      <c r="I7" s="2" t="n"/>
      <c r="J7" s="2" t="n"/>
      <c r="K7" s="2" t="n"/>
      <c r="L7" s="2" t="inlineStr"/>
      <c r="M7" s="2" t="inlineStr"/>
      <c r="N7" s="2" t="inlineStr">
        <is>
          <t>Estonia</t>
        </is>
      </c>
      <c r="O7" s="7" t="n">
        <v>68.45</v>
      </c>
      <c r="P7" s="2" t="n">
        <v>36</v>
      </c>
      <c r="Q7" s="2" t="n"/>
    </row>
    <row r="8">
      <c r="A8" s="2" t="inlineStr">
        <is>
          <t>Nordecon ehitab East Capitali tööstusparki Rae vallas esimese hoone</t>
        </is>
      </c>
      <c r="B8" s="2">
        <f>HYPERLINK("https://www.aripaev.ee/uudised/2026/02/02/nordecon-ehitab-east-capitali-toostusparki-rae-vallas-esimese-hoone")</f>
        <v/>
      </c>
      <c r="C8" s="2" t="inlineStr"/>
      <c r="D8" s="2" t="inlineStr">
        <is>
          <t>Äripäev</t>
        </is>
      </c>
      <c r="E8" s="8" t="n">
        <v>46055</v>
      </c>
      <c r="F8" s="2" t="inlineStr">
        <is>
          <t>Nordecon ja East Capital Park Rae sõlmisid peatöövõtulepingu Rae valda planeeritud logistika- ja kergetööstuspargi Park Rae esimese hoone ehituseks.
Nodreconi objekt Ida-Virumaal: Uuskülasse rajatav loodusspaahotell.</t>
        </is>
      </c>
      <c r="G8" s="2" t="n">
        <v>211196</v>
      </c>
      <c r="H8" s="2" t="n"/>
      <c r="I8" s="2" t="n"/>
      <c r="J8" s="2" t="n"/>
      <c r="K8" s="2" t="n"/>
      <c r="L8" s="2" t="inlineStr">
        <is>
          <t>Tallinn</t>
        </is>
      </c>
      <c r="M8" s="2" t="inlineStr"/>
      <c r="N8" s="2" t="inlineStr">
        <is>
          <t>Estonia</t>
        </is>
      </c>
      <c r="O8" s="7" t="n">
        <v>1953.56</v>
      </c>
      <c r="P8" s="2" t="n">
        <v>54</v>
      </c>
      <c r="Q8" s="2" t="n"/>
    </row>
    <row r="9">
      <c r="A9" s="2" t="inlineStr">
        <is>
          <t>Lehmja külla rajatakse Eesti suurim logistikapark Park Rae</t>
        </is>
      </c>
      <c r="B9" s="2">
        <f>HYPERLINK("https://www.logistikauudised.ee/uudised/2026/02/02/lehmja-kulla-rajatakse-eesti-suurim-logistikapark-park-rae")</f>
        <v/>
      </c>
      <c r="C9" s="2" t="inlineStr"/>
      <c r="D9" s="2" t="inlineStr">
        <is>
          <t>logistikauudised.ee</t>
        </is>
      </c>
      <c r="E9" s="8" t="n">
        <v>46055</v>
      </c>
      <c r="F9" s="2" t="inlineStr">
        <is>
          <t>2. veebruaril sõlmisid East Capital Park Rae ja Nordecon peatöövõtulepingu, et rajada Tallinna külje alla, Rae valda, 30-hektarilisele maa-alale planeeritud 130 000 m² suuruse logistika- ja kergetööstuspargi esimene hoone, aadressiga Pähklimäe tee 11.</t>
        </is>
      </c>
      <c r="G9" s="2" t="n">
        <v>2469</v>
      </c>
      <c r="H9" s="2" t="n"/>
      <c r="I9" s="2" t="n"/>
      <c r="J9" s="2" t="n"/>
      <c r="K9" s="2" t="n"/>
      <c r="L9" s="2" t="inlineStr"/>
      <c r="M9" s="2" t="inlineStr"/>
      <c r="N9" s="2" t="inlineStr">
        <is>
          <t>Estonia</t>
        </is>
      </c>
      <c r="O9" s="7" t="n">
        <v>22.84</v>
      </c>
      <c r="P9" s="2" t="n">
        <v>33</v>
      </c>
      <c r="Q9" s="2"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2026-03-02T08:07:41Z</dcterms:created>
  <dcterms:modified xmlns:dcterms="http://purl.org/dc/terms/" xmlns:xsi="http://www.w3.org/2001/XMLSchema-instance" xsi:type="dcterms:W3CDTF">2026-03-02T08:07:41Z</dcterms:modified>
</cp:coreProperties>
</file>