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SIRIN</t>
        </is>
      </c>
    </row>
    <row r="2">
      <c r="A2" s="1" t="inlineStr">
        <is>
          <t>URL</t>
        </is>
      </c>
      <c r="B2" s="2">
        <f>HYPERLINK("https://particle-agency.muckrack.com/coverage-reports/gMX8/edit/")</f>
        <v/>
      </c>
    </row>
    <row r="3">
      <c r="A3" s="1" t="inlineStr">
        <is>
          <t>Exported On</t>
        </is>
      </c>
      <c r="B3" s="6" t="n">
        <v>46083</v>
      </c>
    </row>
    <row r="4">
      <c r="A4" s="1" t="inlineStr">
        <is>
          <t>Generated By</t>
        </is>
      </c>
      <c r="B4" s="2" t="inlineStr">
        <is>
          <t>Ieva Mackeviciute</t>
        </is>
      </c>
    </row>
    <row r="6">
      <c r="A6" s="1" t="inlineStr">
        <is>
          <t>Links</t>
        </is>
      </c>
      <c r="B6" s="2" t="n">
        <v>19</v>
      </c>
    </row>
    <row r="7">
      <c r="A7" s="1" t="inlineStr">
        <is>
          <t>Total Engagement</t>
        </is>
      </c>
      <c r="B7" s="2" t="n">
        <v>0</v>
      </c>
    </row>
    <row r="8">
      <c r="A8" s="1" t="inlineStr">
        <is>
          <t>Average Engagement</t>
        </is>
      </c>
      <c r="B8" s="2" t="n">
        <v>0</v>
      </c>
    </row>
    <row r="9">
      <c r="A9" s="1" t="inlineStr">
        <is>
          <t>Total UVM (Insights by Similarweb)</t>
        </is>
      </c>
      <c r="B9" s="2" t="n">
        <v>5913819</v>
      </c>
    </row>
    <row r="10">
      <c r="A10" s="1" t="inlineStr">
        <is>
          <t>Total AVE</t>
        </is>
      </c>
      <c r="B10" s="7" t="n">
        <v>46717.94</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Nordic Real Estate Forum 2026 kutsub kinnisvarasektorit mõtestama ümber senised tõed</t>
        </is>
      </c>
      <c r="B2" s="2">
        <f>HYPERLINK("https://www.adaur.ee/nordic-real-estate-forum-2026-kutsub-kinnisvarasektorit-motestama-umber-senised-toed/")</f>
        <v/>
      </c>
      <c r="C2" s="2" t="inlineStr"/>
      <c r="D2" s="2" t="inlineStr">
        <is>
          <t>adaur.ee</t>
        </is>
      </c>
      <c r="E2" s="8" t="n">
        <v>46079.54212962963</v>
      </c>
      <c r="F2" s="2" t="inlineStr">
        <is>
          <t>Nordic Real Estate Forum 2026 partnerid on Swedbank, Newsec, East Capital, Colonna Capital, Advokaadibüroo Glimstedt, Tallinna Sadam ja Sirin Development.
Foorumit korraldavad Eesti Kinnisvarafirmade Liit, Eesti Kinnisvara Hindajate Ühing, Eesti Kinnisvaramaaklerite Koda ja Corpore Konverentsid.</t>
        </is>
      </c>
      <c r="G2" s="2" t="n">
        <v>848</v>
      </c>
      <c r="H2" s="2" t="n"/>
      <c r="I2" s="2" t="n"/>
      <c r="J2" s="2" t="n"/>
      <c r="K2" s="2" t="n"/>
      <c r="L2" s="2" t="inlineStr">
        <is>
          <t>Tallinn</t>
        </is>
      </c>
      <c r="M2" s="2" t="inlineStr"/>
      <c r="N2" s="2" t="inlineStr">
        <is>
          <t>Estonia</t>
        </is>
      </c>
      <c r="O2" s="7" t="n">
        <v>7.84</v>
      </c>
      <c r="P2" s="2" t="n">
        <v>27</v>
      </c>
      <c r="Q2" s="2" t="n"/>
    </row>
    <row r="3">
      <c r="A3" s="2" t="inlineStr">
        <is>
          <t>Ekspertai: geopolitinė situacija ir valdžios sprendimai keičia nusistovėjusias NT sektoriaus taisykles</t>
        </is>
      </c>
      <c r="B3" s="2">
        <f>HYPERLINK("https://www.litas.lt/ekspertai-geopolitine-situacija-ir-valdzios-sprendimai-keicia-nusistovejusias-nt-sektoriaus-taisykles/")</f>
        <v/>
      </c>
      <c r="C3" s="2" t="inlineStr"/>
      <c r="D3" s="2" t="inlineStr">
        <is>
          <t>litas.lt</t>
        </is>
      </c>
      <c r="E3" s="8" t="n">
        <v>46079.24208333333</v>
      </c>
      <c r="F3" s="2" t="inlineStr">
        <is>
          <t xml:space="preserve">„Nordic Real Estate Forum 2026“ partneriai: „Swedbank“, „Newsec“, „East Capital“, „Colonna Capital“, „Glimstedt“, Talino uostas ir „Sirin Development“. </t>
        </is>
      </c>
      <c r="G3" s="2" t="n">
        <v>825</v>
      </c>
      <c r="H3" s="2" t="n">
        <v>0</v>
      </c>
      <c r="I3" s="2" t="n">
        <v>0</v>
      </c>
      <c r="J3" s="2" t="n">
        <v>0</v>
      </c>
      <c r="K3" s="2" t="n"/>
      <c r="L3" s="2" t="inlineStr"/>
      <c r="M3" s="2" t="inlineStr"/>
      <c r="N3" s="2" t="inlineStr">
        <is>
          <t>Lithuania</t>
        </is>
      </c>
      <c r="O3" s="7" t="n">
        <v>7.63</v>
      </c>
      <c r="P3" s="2" t="n">
        <v>24</v>
      </c>
      <c r="Q3" s="2" t="n"/>
    </row>
    <row r="4">
      <c r="A4" s="2" t="inlineStr">
        <is>
          <t>Ekspertai: geopolitinė situacija ir valdžios sprendimai keičia nusistovėjusias NT sektoriaus taisykles</t>
        </is>
      </c>
      <c r="B4" s="2">
        <f>HYPERLINK("https://www.man.lt/ekspertai-geopolitine-situacija-ir-valdzios-sprendimai-keicia-nusistovejusias-nt-sektoriaus-taisykles/")</f>
        <v/>
      </c>
      <c r="C4" s="2" t="inlineStr"/>
      <c r="D4" s="2" t="inlineStr">
        <is>
          <t>man.lt</t>
        </is>
      </c>
      <c r="E4" s="8" t="n">
        <v>46079.24053240741</v>
      </c>
      <c r="F4" s="2" t="inlineStr">
        <is>
          <t xml:space="preserve">„Nordic Real Estate Forum 2026“ partneriai: „Swedbank“, „Newsec“, „East Capital“, „Colonna Capital“, „Glimstedt“, Talino uostas ir „Sirin Development“. </t>
        </is>
      </c>
      <c r="G4" s="2" t="n">
        <v>1682</v>
      </c>
      <c r="H4" s="2" t="n">
        <v>0</v>
      </c>
      <c r="I4" s="2" t="n">
        <v>0</v>
      </c>
      <c r="J4" s="2" t="n">
        <v>0</v>
      </c>
      <c r="K4" s="2" t="n"/>
      <c r="L4" s="2" t="inlineStr"/>
      <c r="M4" s="2" t="inlineStr"/>
      <c r="N4" s="2" t="inlineStr">
        <is>
          <t>Lithuania</t>
        </is>
      </c>
      <c r="O4" s="7" t="n">
        <v>15.56</v>
      </c>
      <c r="P4" s="2" t="n">
        <v>27</v>
      </c>
      <c r="Q4" s="2" t="n"/>
    </row>
    <row r="5">
      <c r="A5" s="2" t="inlineStr">
        <is>
          <t>Ekspertai: geopolitinė situacija ir valdžios sprendimai keičia nusistovėjusias NT sektoriaus taisykles</t>
        </is>
      </c>
      <c r="B5" s="2">
        <f>HYPERLINK("https://sc.bns.lt/view/item/ekspertai-geopolitine-situacija-ir-valdzios-sprendimai-keicia-nusistovejusias-nt-sektoriaus-taisykles-524705")</f>
        <v/>
      </c>
      <c r="C5" s="2" t="inlineStr"/>
      <c r="D5" s="2" t="inlineStr">
        <is>
          <t>Baltic News Service (Lithuania)</t>
        </is>
      </c>
      <c r="E5" s="8" t="n">
        <v>46079.19822916666</v>
      </c>
      <c r="F5" s="2" t="inlineStr">
        <is>
          <t xml:space="preserve">„Nordic Real Estate Forum 2026“ partneriai: „Swedbank“, „Newsec“, „East Capital“, „Colonna Capital“, „Glimstedt“, Talino uostas ir „Sirin Development“. </t>
        </is>
      </c>
      <c r="G5" s="2" t="n">
        <v>32397</v>
      </c>
      <c r="H5" s="2" t="n">
        <v>0</v>
      </c>
      <c r="I5" s="2" t="n">
        <v>0</v>
      </c>
      <c r="J5" s="2" t="n">
        <v>0</v>
      </c>
      <c r="K5" s="2" t="n"/>
      <c r="L5" s="2" t="inlineStr">
        <is>
          <t>Vilnius</t>
        </is>
      </c>
      <c r="M5" s="2" t="inlineStr"/>
      <c r="N5" s="2" t="inlineStr">
        <is>
          <t>Lithuania</t>
        </is>
      </c>
      <c r="O5" s="7" t="n">
        <v>299.67</v>
      </c>
      <c r="P5" s="2" t="n">
        <v>55</v>
      </c>
      <c r="Q5" s="2" t="n"/>
    </row>
    <row r="6">
      <c r="A6" s="2" t="inlineStr">
        <is>
          <t>Verslas susitelkė dėl vaikų ateities: Bučoje atidaryta nauja mokymosi erdvė vaikams</t>
        </is>
      </c>
      <c r="B6" s="2">
        <f>HYPERLINK("https://www.lrt.lt/naujienos/svietimas/45/2848329/verslas-susitelke-del-vaiku-ateities-bucoje-atidaryta-nauja-mokymosi-erdve-vaikams")</f>
        <v/>
      </c>
      <c r="C6" s="2" t="inlineStr"/>
      <c r="D6" s="2" t="inlineStr">
        <is>
          <t>Lithuanian National Radio and Television (LRT)</t>
        </is>
      </c>
      <c r="E6" s="8" t="n">
        <v>46076.44372685185</v>
      </c>
      <c r="F6" s="2" t="inlineStr">
        <is>
          <t>Prie projekto taip pat prisidėjo įmonės: „Ailuda“, „Airwave Lietuva“, „Arevita“, „Birdshades“, „BK grupė“, „Dangų studija“, „Energy Green“, „Hike for Freedom“, „Hostinger“, „ISKU“, „JUNG Vilnius“, „Linea“, „Medžio stilius“, „Modulina“, „Overbend“, „Rockfon Lietuva“, „Schoeck“, „SIRIN Development“, „Sveika</t>
        </is>
      </c>
      <c r="G6" s="2" t="n">
        <v>1529307</v>
      </c>
      <c r="H6" s="2" t="n">
        <v>0</v>
      </c>
      <c r="I6" s="2" t="n">
        <v>0</v>
      </c>
      <c r="J6" s="2" t="n">
        <v>0</v>
      </c>
      <c r="K6" s="2" t="n"/>
      <c r="L6" s="2" t="inlineStr">
        <is>
          <t>Vilnius</t>
        </is>
      </c>
      <c r="M6" s="2" t="inlineStr">
        <is>
          <t>Vilniaus Apskritis</t>
        </is>
      </c>
      <c r="N6" s="2" t="inlineStr">
        <is>
          <t>Lithuania</t>
        </is>
      </c>
      <c r="O6" s="7" t="n">
        <v>14146.09</v>
      </c>
      <c r="P6" s="2" t="n">
        <v>68</v>
      </c>
      <c r="Q6" s="2" t="n"/>
    </row>
    <row r="7">
      <c r="A7" s="2" t="inlineStr">
        <is>
          <t>Verslo bendruomenė susitelkė dėl vaikų ateities: Bučoje atidaryta nauja mokymosi erdvė vaikams</t>
        </is>
      </c>
      <c r="B7" s="2">
        <f>HYPERLINK("https://www.elta.lt/lt/pranesimai-spaudai/verslo-bendruomene-susitelke-del-vaiku-ateities-bucoje-atidaryta-nauja-mokymosi-erdve-vaikams-261774")</f>
        <v/>
      </c>
      <c r="C7" s="2" t="inlineStr"/>
      <c r="D7" s="2" t="inlineStr">
        <is>
          <t>elta.lt</t>
        </is>
      </c>
      <c r="E7" s="8" t="n">
        <v>46076</v>
      </c>
      <c r="F7" s="2" t="inlineStr">
        <is>
          <t>Prie projekto taip pat prisidėjo įmonės: „Ailuda“, „Airwave Lietuva“, „Arevita“, „Birdshades“, „BK grupė“, „Dangų studija“, „Energy Green“, „Hike for Freedom“, „Hostinger“, „ISKU“, „JUNG Vilnius“, „Linea“, „Medžio stilius“, „Modulina“, „Overbend“, „Rockfon Lietuva“, „Schoeck“, „SIRIN Development“, „Sveika</t>
        </is>
      </c>
      <c r="G7" s="2" t="n">
        <v>9121</v>
      </c>
      <c r="H7" s="2" t="n"/>
      <c r="I7" s="2" t="n"/>
      <c r="J7" s="2" t="n"/>
      <c r="K7" s="2" t="n"/>
      <c r="L7" s="2" t="inlineStr"/>
      <c r="M7" s="2" t="inlineStr"/>
      <c r="N7" s="2" t="inlineStr">
        <is>
          <t>Lithuania</t>
        </is>
      </c>
      <c r="O7" s="7" t="n">
        <v>84.37</v>
      </c>
      <c r="P7" s="2" t="n">
        <v>44</v>
      </c>
      <c r="Q7" s="2" t="n"/>
    </row>
    <row r="8">
      <c r="A8" s="2" t="inlineStr">
        <is>
          <t>Leedu logistikahiid investeerib Eestisse 100 miljonit</t>
        </is>
      </c>
      <c r="B8" s="2">
        <f>HYPERLINK("https://www.logistikauudised.ee/uudised/2026/02/20/leedu-logistikahiid-investeerib-eestisse-100-miljonit")</f>
        <v/>
      </c>
      <c r="C8" s="2" t="inlineStr"/>
      <c r="D8" s="2" t="inlineStr">
        <is>
          <t>logistikauudised.ee</t>
        </is>
      </c>
      <c r="E8" s="8" t="n">
        <v>46073</v>
      </c>
      <c r="F8" s="2" t="inlineStr">
        <is>
          <t>Foto: SIRIN Development
Tallinnas toimunud kohtumisel arutati lisaks üldisele investeerimiskeskkonnale ka investoritele loodavat ekspressrada, millega soovitakse kiirendada investeeringuid Eestis.</t>
        </is>
      </c>
      <c r="G8" s="2" t="n">
        <v>2469</v>
      </c>
      <c r="H8" s="2" t="n"/>
      <c r="I8" s="2" t="n"/>
      <c r="J8" s="2" t="n"/>
      <c r="K8" s="2" t="n"/>
      <c r="L8" s="2" t="inlineStr"/>
      <c r="M8" s="2" t="inlineStr"/>
      <c r="N8" s="2" t="inlineStr">
        <is>
          <t>Estonia</t>
        </is>
      </c>
      <c r="O8" s="7" t="n">
        <v>22.84</v>
      </c>
      <c r="P8" s="2" t="n">
        <v>33</v>
      </c>
      <c r="Q8" s="2" t="n"/>
    </row>
    <row r="9">
      <c r="A9" s="2" t="inlineStr">
        <is>
          <t>Leedu logistikahiid investeerib Eestisse 100 miljonit</t>
        </is>
      </c>
      <c r="B9" s="2">
        <f>HYPERLINK("https://www.kinnisvarauudised.ee/uudised/2026/02/20/leedu-logistikahiid-investeerib-eestisse-100-miljonit")</f>
        <v/>
      </c>
      <c r="C9" s="2" t="inlineStr"/>
      <c r="D9" s="2" t="inlineStr">
        <is>
          <t>Kinnisvarauudised.ee</t>
        </is>
      </c>
      <c r="E9" s="8" t="n">
        <v>46073</v>
      </c>
      <c r="F9" s="2" t="inlineStr">
        <is>
          <t>SIRIN Developmenti tegevjuhi Laurynas Kuzavas avab ambitsioonikaid perspektiive.
Eestis on Baltimaade kõige tehnoloogiakesksem ärikinnisvaraturg, Läti nägu kujundab asukoht Eesti ja Leedu vahel ning Leedu turg pakub mastaapi ja kulutõhusust.</t>
        </is>
      </c>
      <c r="G9" s="2" t="n">
        <v>3772</v>
      </c>
      <c r="H9" s="2" t="n"/>
      <c r="I9" s="2" t="n"/>
      <c r="J9" s="2" t="n"/>
      <c r="K9" s="2" t="n"/>
      <c r="L9" s="2" t="inlineStr"/>
      <c r="M9" s="2" t="inlineStr"/>
      <c r="N9" s="2" t="inlineStr">
        <is>
          <t>Estonia</t>
        </is>
      </c>
      <c r="O9" s="7" t="n">
        <v>34.89</v>
      </c>
      <c r="P9" s="2" t="n">
        <v>35</v>
      </c>
      <c r="Q9" s="2" t="n"/>
    </row>
    <row r="10">
      <c r="A10" s="2" t="inlineStr">
        <is>
          <t>Крупнейший девелопер логистической недвижимости инвестирует в Эстонию до 100 млн евро</t>
        </is>
      </c>
      <c r="B10" s="2">
        <f>HYPERLINK("https://tribuna.ee/tribuna/economy/krupneishii-developer-logisticheskoi-nedvizhimosti-investiruet-v-estoniu-do-100-mln-evro/")</f>
        <v/>
      </c>
      <c r="C10" s="2" t="inlineStr"/>
      <c r="D10" s="2" t="inlineStr">
        <is>
          <t>tribuna.ee</t>
        </is>
      </c>
      <c r="E10" s="8" t="n">
        <v>46072.52822916667</v>
      </c>
      <c r="F10" s="2" t="inlineStr">
        <is>
          <t>Такое улучшение инвестиционного климата Эстонии значительно повысит конкурентоспособность страны», — сказал исполнительный директор SIRIN Development Лауринас Кузавас.</t>
        </is>
      </c>
      <c r="G10" s="2" t="n"/>
      <c r="H10" s="2" t="n"/>
      <c r="I10" s="2" t="n"/>
      <c r="J10" s="2" t="n"/>
      <c r="K10" s="2" t="n"/>
      <c r="L10" s="2" t="inlineStr"/>
      <c r="M10" s="2" t="inlineStr"/>
      <c r="N10" s="2" t="inlineStr">
        <is>
          <t>Estonia</t>
        </is>
      </c>
      <c r="O10" s="2" t="n"/>
      <c r="P10" s="2" t="n">
        <v>34</v>
      </c>
      <c r="Q10" s="2" t="n"/>
    </row>
    <row r="11">
      <c r="A11" s="2" t="inlineStr">
        <is>
          <t>„Sirin Development“ šiemet į logistikos pastatų plėtrą Baltijos šalyse investuos 85 mln. eurų</t>
        </is>
      </c>
      <c r="B11" s="2">
        <f>HYPERLINK("https://www.delfi.lt/projektai/elta/sirin-development-siemet-i-logistikos-pastatu-pletra-baltijos-salyse-investuos-85-mln-euru-120213224")</f>
        <v/>
      </c>
      <c r="C11" s="2" t="inlineStr"/>
      <c r="D11" s="2" t="inlineStr">
        <is>
          <t>DELFI Lithuania</t>
        </is>
      </c>
      <c r="E11" s="8" t="n">
        <v>46071.17087962963</v>
      </c>
      <c r="F11" s="2" t="inlineStr">
        <is>
          <t>„Sirin Development“ vadovo Lauryno Kuzavo teigimu, bendrovė šiemet vystys tris kartus daugiau ploto nei praėjusiais metais.
„Lygiagrečiai vykdysime esamus projektus, o papildomas investicijas nukreipsime į statybas, naujų žemės sklypų įsigijimą bei naujų pastatų projektavimą.</t>
        </is>
      </c>
      <c r="G11" s="2" t="n">
        <v>1878795</v>
      </c>
      <c r="H11" s="2" t="n"/>
      <c r="I11" s="2" t="n"/>
      <c r="J11" s="2" t="n"/>
      <c r="K11" s="2" t="n"/>
      <c r="L11" s="2" t="inlineStr">
        <is>
          <t>Vilnius</t>
        </is>
      </c>
      <c r="M11" s="2" t="inlineStr"/>
      <c r="N11" s="2" t="inlineStr">
        <is>
          <t>Lithuania</t>
        </is>
      </c>
      <c r="O11" s="7" t="n">
        <v>9393.98</v>
      </c>
      <c r="P11" s="2" t="n">
        <v>82</v>
      </c>
      <c r="Q11" s="2" t="n"/>
    </row>
    <row r="12">
      <c r="A12" s="2" t="inlineStr">
        <is>
          <t>Sirin Development šogad Baltijā investēs 85 miljonus eiro</t>
        </is>
      </c>
      <c r="B12" s="2">
        <f>HYPERLINK("https://www.db.lv/zinas/sirin-development-sogad-baltija-investes-85-miljonus-eiro-525249")</f>
        <v/>
      </c>
      <c r="C12" s="2" t="inlineStr"/>
      <c r="D12" s="2" t="inlineStr">
        <is>
          <t>Dienas Bizness</t>
        </is>
      </c>
      <c r="E12" s="8" t="n">
        <v>46071</v>
      </c>
      <c r="F12" s="2" t="inlineStr">
        <is>
          <t>Tostarp Latvijā "Sirin Development" šogad plāno uzbūvēt 30 000 kvadrātmetru loģistikas parkā "Sirin Park Mārupe" un 26 000 kvadrātmetru loģistikas parkā "Sirin Park Dreiliņi".</t>
        </is>
      </c>
      <c r="G12" s="2" t="n">
        <v>81988</v>
      </c>
      <c r="H12" s="2" t="n"/>
      <c r="I12" s="2" t="n"/>
      <c r="J12" s="2" t="n"/>
      <c r="K12" s="2" t="n"/>
      <c r="L12" s="2" t="inlineStr"/>
      <c r="M12" s="2" t="inlineStr">
        <is>
          <t>Rīga</t>
        </is>
      </c>
      <c r="N12" s="2" t="inlineStr">
        <is>
          <t>Latvia</t>
        </is>
      </c>
      <c r="O12" s="7" t="n">
        <v>758.39</v>
      </c>
      <c r="P12" s="2" t="n">
        <v>60</v>
      </c>
      <c r="Q12" s="2" t="n"/>
    </row>
    <row r="13">
      <c r="A13" s="2" t="inlineStr">
        <is>
          <t>„Sirin Development“ į logistikos pastatų plėtrą Baltijos šalyse investuos 85 mln. eurų</t>
        </is>
      </c>
      <c r="B13" s="2">
        <f>HYPERLINK("https://www.lrt.lt/naujienos/verslas/4/2842094/sirin-development-i-logistikos-pastatu-pletra-baltijos-salyse-investuos-85-mln-euru")</f>
        <v/>
      </c>
      <c r="C13" s="2" t="n"/>
      <c r="D13" s="2" t="inlineStr">
        <is>
          <t>Lithuanian National Radio and Television (LRT)</t>
        </is>
      </c>
      <c r="E13" s="8" t="n">
        <v>46070.15258101852</v>
      </c>
      <c r="F13" s="2" t="inlineStr">
        <is>
          <t>Logistikos nekilnojamojo turto bendrovė „Sirin Development“ šiemet planuoja investuoti 85 mln. eurų į vystomus projektus Baltijos šalyse. Numatoma, kad lėšos bus skirtos 127 tūkst. kv. metrų logistikos pastatų Vilniuje, Kaune, Rygoje ir Taline statyboms, skelbia bendrovė.</t>
        </is>
      </c>
      <c r="G13" s="2" t="n">
        <v>1529307</v>
      </c>
      <c r="H13" s="2" t="n"/>
      <c r="I13" s="2" t="n"/>
      <c r="J13" s="2" t="n"/>
      <c r="K13" s="2" t="n"/>
      <c r="L13" s="2" t="inlineStr">
        <is>
          <t>Vilnius</t>
        </is>
      </c>
      <c r="M13" s="2" t="inlineStr">
        <is>
          <t>Vilniaus Apskritis</t>
        </is>
      </c>
      <c r="N13" s="2" t="inlineStr">
        <is>
          <t>Lithuania</t>
        </is>
      </c>
      <c r="O13" s="7" t="n">
        <v>14146.09</v>
      </c>
      <c r="P13" s="2" t="n">
        <v>68</v>
      </c>
      <c r="Q13" s="2" t="n"/>
    </row>
    <row r="14">
      <c r="A14" s="2" t="inlineStr">
        <is>
          <t>Registration for Nordic Real Estate Forum 2026 is open until February 25</t>
        </is>
      </c>
      <c r="B14" s="2">
        <f>HYPERLINK("https://www.adaur.ee/registration-for-nordic-real-estate-forum-2026-is-open-until-february-25/")</f>
        <v/>
      </c>
      <c r="C14" s="2" t="inlineStr"/>
      <c r="D14" s="2" t="inlineStr">
        <is>
          <t>adaur.ee</t>
        </is>
      </c>
      <c r="E14" s="8" t="n">
        <v>46065.25699074074</v>
      </c>
      <c r="F14" s="2" t="inlineStr">
        <is>
          <t>Confirmed speakers are:
Olof Sundblad, Swedbank
Päivi Tomula, Pontos Group
Olavi Lepp, Swedbank
Madis Raidma, East Capital Real Estate
Kristjan Tamla, EfTEN Capital
Roberto de Silvestri, Colonna Group
Gabrielė Gegevičiūtė, Capitalica Asset Management
Monika Nedzinskaitė, Newsec
Laurynas Kuzavas, SIRIN</t>
        </is>
      </c>
      <c r="G14" s="2" t="n">
        <v>848</v>
      </c>
      <c r="H14" s="2" t="n">
        <v>0</v>
      </c>
      <c r="I14" s="2" t="n">
        <v>0</v>
      </c>
      <c r="J14" s="2" t="n">
        <v>0</v>
      </c>
      <c r="K14" s="2" t="inlineStr">
        <is>
          <t>Positive</t>
        </is>
      </c>
      <c r="L14" s="2" t="inlineStr">
        <is>
          <t>Tallinn</t>
        </is>
      </c>
      <c r="M14" s="2" t="inlineStr"/>
      <c r="N14" s="2" t="inlineStr">
        <is>
          <t>Estonia</t>
        </is>
      </c>
      <c r="O14" s="7" t="n">
        <v>7.84</v>
      </c>
      <c r="P14" s="2" t="n">
        <v>27</v>
      </c>
      <c r="Q14" s="2" t="n"/>
    </row>
    <row r="15">
      <c r="A15" s="2" t="inlineStr">
        <is>
          <t>Pernai sostinės šiuolaikinio meno galerija pasipildė 17 darbų</t>
        </is>
      </c>
      <c r="B15" s="2">
        <f>HYPERLINK("https://www.regionunaujienos.lt/pernai-sostines-siuolaikinio-meno-galerija-pasipilde-17-darbu/")</f>
        <v/>
      </c>
      <c r="C15" s="2" t="inlineStr"/>
      <c r="D15" s="2" t="inlineStr">
        <is>
          <t>regionunaujienos.lt</t>
        </is>
      </c>
      <c r="E15" s="8" t="n">
        <v>46059.4254050926</v>
      </c>
      <c r="F15" s="2" t="inlineStr">
        <is>
          <t>Projektas subūrė keturis šiuolaikinius gatvės menininkus ir iliustratorius (Artur Širin, Justine, Shirin, Timotiejus Norvilas ir Pijus Čeikauskas (Pijin)), kurie sukūrė unikalaus dizaino dangčius, juos paversdami žaismingais mažosios architektūros elementais, derančiais su aplinka.</t>
        </is>
      </c>
      <c r="G15" s="2" t="n">
        <v>2877</v>
      </c>
      <c r="H15" s="2" t="n"/>
      <c r="I15" s="2" t="n"/>
      <c r="J15" s="2" t="n"/>
      <c r="K15" s="2" t="n"/>
      <c r="L15" s="2" t="inlineStr"/>
      <c r="M15" s="2" t="inlineStr"/>
      <c r="N15" s="2" t="inlineStr">
        <is>
          <t>Lithuania</t>
        </is>
      </c>
      <c r="O15" s="7" t="n">
        <v>26.61</v>
      </c>
      <c r="P15" s="2" t="n">
        <v>29</v>
      </c>
      <c r="Q15" s="2" t="n"/>
    </row>
    <row r="16">
      <c r="A16" s="2" t="inlineStr">
        <is>
          <t>Pernai sostinės šiuolaikinio meno galerija pasipildė 17 darbų</t>
        </is>
      </c>
      <c r="B16" s="2">
        <f>HYPERLINK("https://madeinvilnius.lt/naujienos/miestas/pernai-sostines-siuolaikinio-meno-galerija-pasipilde-17-darbu/")</f>
        <v/>
      </c>
      <c r="C16" s="2" t="inlineStr"/>
      <c r="D16" s="2" t="inlineStr">
        <is>
          <t>madeinvilnius.lt</t>
        </is>
      </c>
      <c r="E16" s="8" t="n">
        <v>46059.14583333334</v>
      </c>
      <c r="F16" s="2" t="inlineStr">
        <is>
          <t>Projektas subūrė keturis šiuolaikinius gatvės menininkus ir iliustratorius (Artur Širin, Justine, Shirin, Timotiejus Norvilas ir Pijus Čeikauskas (Pijin)), kurie sukūrė unikalaus dizaino dangčius, juos paversdami žaismingais mažosios architektūros elementais, derančiais su aplinka.</t>
        </is>
      </c>
      <c r="G16" s="2" t="n">
        <v>349239</v>
      </c>
      <c r="H16" s="2" t="n"/>
      <c r="I16" s="2" t="n"/>
      <c r="J16" s="2" t="n"/>
      <c r="K16" s="2" t="n"/>
      <c r="L16" s="2" t="inlineStr"/>
      <c r="M16" s="2" t="inlineStr"/>
      <c r="N16" s="2" t="inlineStr">
        <is>
          <t>Lithuania</t>
        </is>
      </c>
      <c r="O16" s="7" t="n">
        <v>3230.46</v>
      </c>
      <c r="P16" s="2" t="n">
        <v>35</v>
      </c>
      <c r="Q16" s="2" t="n"/>
    </row>
    <row r="17">
      <c r="A17" s="2" t="inlineStr">
        <is>
          <t>Pernai sostinės šiuolaikinio meno galerija pasipildė septyniolika darbų</t>
        </is>
      </c>
      <c r="B17" s="2">
        <f>HYPERLINK("https://diena.lt/naujienos/vilnius/menas-ir-pramogos/pernai-sostines-siuolaikinio-meno-galerija-pasipilde-septyniolika-darbu-1740989")</f>
        <v/>
      </c>
      <c r="C17" s="2" t="inlineStr">
        <is>
          <t>Pranešimas spaudai</t>
        </is>
      </c>
      <c r="D17" s="2" t="inlineStr">
        <is>
          <t>diena.lt</t>
        </is>
      </c>
      <c r="E17" s="8" t="n">
        <v>46058.35226851852</v>
      </c>
      <c r="F17" s="2" t="inlineStr">
        <is>
          <t>Projektas subūrė keturis šiuolaikinius gatvės menininkus ir iliustratorius (Artur Širin, Justine, Shirin, Timotiejus Norvilas ir Pijus Čeikauskas (Pijin)), kurie sukūrė unikalaus dizaino dangčius, juos paversdami žaismingais mažosios architektūros elementais, derančiais su aplinka.</t>
        </is>
      </c>
      <c r="G17" s="2" t="n">
        <v>486179</v>
      </c>
      <c r="H17" s="2" t="n"/>
      <c r="I17" s="2" t="n"/>
      <c r="J17" s="2" t="n"/>
      <c r="K17" s="2" t="n"/>
      <c r="L17" s="2" t="inlineStr">
        <is>
          <t>Vilnius</t>
        </is>
      </c>
      <c r="M17" s="2" t="inlineStr">
        <is>
          <t>Vilnius</t>
        </is>
      </c>
      <c r="N17" s="2" t="inlineStr">
        <is>
          <t>Lithuania</t>
        </is>
      </c>
      <c r="O17" s="7" t="n">
        <v>4497.16</v>
      </c>
      <c r="P17" s="2" t="n">
        <v>58</v>
      </c>
      <c r="Q17" s="2" t="n"/>
    </row>
    <row r="18">
      <c r="A18" s="2" t="inlineStr">
        <is>
          <t>Investment Panel at NREF 2026: Where to Find Value in 2026</t>
        </is>
      </c>
      <c r="B18" s="2">
        <f>HYPERLINK("https://www.adaur.ee/investment-panel-at-nref-2026-where-to-find-value-in-2026/")</f>
        <v/>
      </c>
      <c r="C18" s="2" t="inlineStr"/>
      <c r="D18" s="2" t="inlineStr">
        <is>
          <t>adaur.ee</t>
        </is>
      </c>
      <c r="E18" s="8" t="n">
        <v>46058.29813657407</v>
      </c>
      <c r="F18" s="2" t="inlineStr">
        <is>
          <t>commercial and residential real estate, development, retail, PropTech, valuation, Poland &amp; Spanish real estate markets, logistics, hospitality and urban planning
Confirmed speakers are:
Olof Sundblad, Swedbank
Olavi Lepp, Swedbank
GabrielÄ GegeviÄiĆ«tÄ, Capitalica Asset Management
Laurynas Kuzavas, SIRIN</t>
        </is>
      </c>
      <c r="G18" s="2" t="n">
        <v>848</v>
      </c>
      <c r="H18" s="2" t="n">
        <v>0</v>
      </c>
      <c r="I18" s="2" t="n">
        <v>0</v>
      </c>
      <c r="J18" s="2" t="n">
        <v>0</v>
      </c>
      <c r="K18" s="2" t="inlineStr">
        <is>
          <t>Positive</t>
        </is>
      </c>
      <c r="L18" s="2" t="inlineStr">
        <is>
          <t>Tallinn</t>
        </is>
      </c>
      <c r="M18" s="2" t="inlineStr"/>
      <c r="N18" s="2" t="inlineStr">
        <is>
          <t>Estonia</t>
        </is>
      </c>
      <c r="O18" s="7" t="n">
        <v>7.84</v>
      </c>
      <c r="P18" s="2" t="n">
        <v>27</v>
      </c>
      <c r="Q18" s="2" t="n"/>
    </row>
    <row r="19">
      <c r="A19" s="2" t="inlineStr">
        <is>
          <t>NREF 2026 kicks off with Olof Sundblad (Swedbank)</t>
        </is>
      </c>
      <c r="B19" s="2">
        <f>HYPERLINK("https://www.adaur.ee/nref-2026-kicks-off-with-olof-sundblad-swedbank/")</f>
        <v/>
      </c>
      <c r="C19" s="2" t="inlineStr"/>
      <c r="D19" s="2" t="inlineStr">
        <is>
          <t>adaur.ee</t>
        </is>
      </c>
      <c r="E19" s="8" t="n">
        <v>46056.41185185185</v>
      </c>
      <c r="F19" s="2" t="inlineStr">
        <is>
          <t>markets, logistics, hospitality and urban planning
Confirmed speakers are:
Päivi Tomula, Pontos Group
Olavi Lepp, Swedbank
Roberto de Silvestri, Colonna Capital
Gabrielė Gegevičiūtė, Capitalica Asset Management
Kristjan Tamla, EfTEN Capital
Madis Raidma, East Capital Real Estate
Laurynas Kuzavas, SIRIN</t>
        </is>
      </c>
      <c r="G19" s="2" t="n">
        <v>848</v>
      </c>
      <c r="H19" s="2" t="n">
        <v>0</v>
      </c>
      <c r="I19" s="2" t="n">
        <v>0</v>
      </c>
      <c r="J19" s="2" t="n">
        <v>0</v>
      </c>
      <c r="K19" s="2" t="inlineStr">
        <is>
          <t>Positive</t>
        </is>
      </c>
      <c r="L19" s="2" t="inlineStr">
        <is>
          <t>Tallinn</t>
        </is>
      </c>
      <c r="M19" s="2" t="inlineStr"/>
      <c r="N19" s="2" t="inlineStr">
        <is>
          <t>Estonia</t>
        </is>
      </c>
      <c r="O19" s="7" t="n">
        <v>7.84</v>
      </c>
      <c r="P19" s="2" t="n">
        <v>27</v>
      </c>
      <c r="Q19" s="2" t="n"/>
    </row>
    <row r="20">
      <c r="A20" s="2" t="inlineStr">
        <is>
          <t>Lehmja külla rajatakse Eesti suurim logistikapark Park Rae</t>
        </is>
      </c>
      <c r="B20" s="2">
        <f>HYPERLINK("https://www.logistikauudised.ee/uudised/2026/02/02/lehmja-kulla-rajatakse-eesti-suurim-logistikapark-park-rae")</f>
        <v/>
      </c>
      <c r="C20" s="2" t="inlineStr"/>
      <c r="D20" s="2" t="inlineStr">
        <is>
          <t>logistikauudised.ee</t>
        </is>
      </c>
      <c r="E20" s="8" t="n">
        <v>46055</v>
      </c>
      <c r="F20" s="2" t="inlineStr">
        <is>
          <t>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t>
        </is>
      </c>
      <c r="G20" s="2" t="n">
        <v>2469</v>
      </c>
      <c r="H20" s="2" t="n"/>
      <c r="I20" s="2" t="n"/>
      <c r="J20" s="2" t="n"/>
      <c r="K20" s="2" t="n"/>
      <c r="L20" s="2" t="inlineStr"/>
      <c r="M20" s="2" t="inlineStr"/>
      <c r="N20" s="2" t="inlineStr">
        <is>
          <t>Estonia</t>
        </is>
      </c>
      <c r="O20" s="7" t="n">
        <v>22.84</v>
      </c>
      <c r="P20" s="2" t="n">
        <v>33</v>
      </c>
      <c r="Q2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2026-03-02T08:09:06Z</dcterms:created>
  <dcterms:modified xmlns:dcterms="http://purl.org/dc/terms/" xmlns:xsi="http://www.w3.org/2001/XMLSchema-instance" xsi:type="dcterms:W3CDTF">2026-03-02T08:09:06Z</dcterms:modified>
</cp:coreProperties>
</file>