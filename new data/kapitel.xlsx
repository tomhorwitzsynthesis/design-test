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ummary" sheetId="1" state="visible" r:id="rId1"/>
    <sheet xmlns:r="http://schemas.openxmlformats.org/officeDocument/2006/relationships" name="Articles" sheetId="2" state="visible" r:id="rId2"/>
  </sheets>
  <definedNames/>
  <calcPr calcId="124519" fullCalcOnLoad="1"/>
</workbook>
</file>

<file path=xl/styles.xml><?xml version="1.0" encoding="utf-8"?>
<styleSheet xmlns="http://schemas.openxmlformats.org/spreadsheetml/2006/main">
  <numFmts count="3">
    <numFmt numFmtId="164" formatCode="YYYY-mm-dd"/>
    <numFmt numFmtId="165" formatCode="&quot;$&quot;#,##0.00_-"/>
    <numFmt numFmtId="166" formatCode="YYYY-mm-dd HH:MM:SS"/>
  </numFmts>
  <fonts count="3">
    <font>
      <name val="Calibri"/>
      <family val="2"/>
      <color theme="1"/>
      <sz val="11"/>
      <scheme val="minor"/>
    </font>
    <font>
      <name val="Arial"/>
      <b val="1"/>
      <sz val="10"/>
    </font>
    <font>
      <name val="Arial"/>
      <sz val="10"/>
    </font>
  </fonts>
  <fills count="2">
    <fill>
      <patternFill/>
    </fill>
    <fill>
      <patternFill patternType="gray125"/>
    </fill>
  </fills>
  <borders count="2">
    <border>
      <left/>
      <right/>
      <top/>
      <bottom/>
      <diagonal/>
    </border>
    <border/>
  </borders>
  <cellStyleXfs count="6">
    <xf numFmtId="0" fontId="0" fillId="0" borderId="0"/>
    <xf numFmtId="0" fontId="1" fillId="0" borderId="1"/>
    <xf numFmtId="0" fontId="2" fillId="0" borderId="1" applyAlignment="1">
      <alignment vertical="top" wrapText="1"/>
    </xf>
    <xf numFmtId="164" fontId="2" fillId="0" borderId="1" applyAlignment="1">
      <alignment vertical="top" wrapText="1"/>
    </xf>
    <xf numFmtId="165" fontId="2" fillId="0" borderId="1" applyAlignment="1">
      <alignment vertical="top" wrapText="1"/>
    </xf>
    <xf numFmtId="166" fontId="2" fillId="0" borderId="1" applyAlignment="1">
      <alignment vertical="top" wrapText="1"/>
    </xf>
  </cellStyleXfs>
  <cellXfs count="9">
    <xf numFmtId="0" fontId="0" fillId="0" borderId="0" pivotButton="0" quotePrefix="0" xfId="0"/>
    <xf numFmtId="0" fontId="1" fillId="0" borderId="1" pivotButton="0" quotePrefix="0" xfId="1"/>
    <xf numFmtId="0" fontId="2" fillId="0" borderId="1" applyAlignment="1" pivotButton="0" quotePrefix="0" xfId="2">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cellXfs>
  <cellStyles count="6">
    <cellStyle name="Normal" xfId="0" builtinId="0" hidden="0"/>
    <cellStyle name="mr_header" xfId="1" hidden="0"/>
    <cellStyle name="mr_normal" xfId="2" hidden="0"/>
    <cellStyle name="mr_date" xfId="3" hidden="0"/>
    <cellStyle name="mr_currency" xfId="4" hidden="0"/>
    <cellStyle name="mr_datetim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32" customWidth="1" min="2" max="2"/>
  </cols>
  <sheetData>
    <row r="1">
      <c r="A1" s="1" t="inlineStr">
        <is>
          <t>Report</t>
        </is>
      </c>
      <c r="B1" s="2" t="inlineStr">
        <is>
          <t>Kapitel</t>
        </is>
      </c>
    </row>
    <row r="2">
      <c r="A2" s="1" t="inlineStr">
        <is>
          <t>URL</t>
        </is>
      </c>
      <c r="B2" s="2">
        <f>HYPERLINK("https://particle-agency.muckrack.com/coverage-reports/gMXC/edit/")</f>
        <v/>
      </c>
    </row>
    <row r="3">
      <c r="A3" s="1" t="inlineStr">
        <is>
          <t>Exported On</t>
        </is>
      </c>
      <c r="B3" s="6" t="n">
        <v>46083</v>
      </c>
    </row>
    <row r="4">
      <c r="A4" s="1" t="inlineStr">
        <is>
          <t>Generated By</t>
        </is>
      </c>
      <c r="B4" s="2" t="inlineStr">
        <is>
          <t>Ieva Mackeviciute</t>
        </is>
      </c>
    </row>
    <row r="6">
      <c r="A6" s="1" t="inlineStr">
        <is>
          <t>Links</t>
        </is>
      </c>
      <c r="B6" s="2" t="n">
        <v>5</v>
      </c>
    </row>
    <row r="7">
      <c r="A7" s="1" t="inlineStr">
        <is>
          <t>Total Engagement</t>
        </is>
      </c>
      <c r="B7" s="2" t="n">
        <v>0</v>
      </c>
    </row>
    <row r="8">
      <c r="A8" s="1" t="inlineStr">
        <is>
          <t>Average Engagement</t>
        </is>
      </c>
      <c r="B8" s="2" t="n">
        <v>0</v>
      </c>
    </row>
    <row r="9">
      <c r="A9" s="1" t="inlineStr">
        <is>
          <t>Total UVM (Insights by Similarweb)</t>
        </is>
      </c>
      <c r="B9" s="2" t="n">
        <v>349260</v>
      </c>
    </row>
    <row r="10">
      <c r="A10" s="1" t="inlineStr">
        <is>
          <t>Total AVE</t>
        </is>
      </c>
      <c r="B10" s="7" t="n">
        <v>3230.65</v>
      </c>
    </row>
    <row r="11">
      <c r="A11" s="1" t="inlineStr">
        <is>
          <t>Total Journalist Shares</t>
        </is>
      </c>
      <c r="B11" s="2" t="n">
        <v>0</v>
      </c>
    </row>
    <row r="12">
      <c r="A12" s="1" t="inlineStr">
        <is>
          <t>Total Journalist Reach</t>
        </is>
      </c>
      <c r="B12"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cols>
    <col width="48" customWidth="1" min="1" max="1"/>
    <col width="32" customWidth="1" min="2" max="2"/>
    <col width="24" customWidth="1" min="3" max="3"/>
    <col width="24" customWidth="1" min="4" max="4"/>
    <col width="19" customWidth="1" min="5" max="5"/>
    <col width="48" customWidth="1" min="6" max="6"/>
    <col width="28" customWidth="1" min="7" max="7"/>
    <col width="17" customWidth="1" min="8" max="8"/>
    <col width="16" customWidth="1" min="9" max="9"/>
    <col width="16" customWidth="1" min="10" max="10"/>
    <col width="13" customWidth="1" min="11" max="11"/>
    <col width="17" customWidth="1" min="12" max="12"/>
    <col width="19" customWidth="1" min="13" max="13"/>
    <col width="24" customWidth="1" min="14" max="14"/>
    <col width="29" customWidth="1" min="15" max="15"/>
    <col width="34" customWidth="1" min="16" max="16"/>
    <col width="24" customWidth="1" min="17" max="17"/>
  </cols>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row>
    <row r="2">
      <c r="A2" s="2" t="inlineStr">
        <is>
          <t>Arco Vara AS uueks tegevjuhiks saab Rait Riim</t>
        </is>
      </c>
      <c r="B2" s="2">
        <f>HYPERLINK("https://www.adaur.ee/arco-vara-as-uueks-tegevjuhiks-saab-rait-riim/")</f>
        <v/>
      </c>
      <c r="C2" s="2" t="inlineStr"/>
      <c r="D2" s="2" t="inlineStr">
        <is>
          <t>adaur.ee</t>
        </is>
      </c>
      <c r="E2" s="8" t="n">
        <v>46079.25033564815</v>
      </c>
      <c r="F2" s="2" t="inlineStr">
        <is>
          <t>Varasemalt on ta töötanud Kapitel AS-is arendusprojektide juhina ning Swedbanki tütarettevõttes Ektornet Management Estonia OÜ kinnisvaraportfelli juhina. Aastatel 2020–2021 oli Rait Riim Arco Vara AS-i nõukogu liige, esindades seal LHV Pensionifonde.</t>
        </is>
      </c>
      <c r="G2" s="2" t="n">
        <v>848</v>
      </c>
      <c r="H2" s="2" t="n"/>
      <c r="I2" s="2" t="n"/>
      <c r="J2" s="2" t="n"/>
      <c r="K2" s="2" t="n"/>
      <c r="L2" s="2" t="inlineStr">
        <is>
          <t>Tallinn</t>
        </is>
      </c>
      <c r="M2" s="2" t="inlineStr"/>
      <c r="N2" s="2" t="inlineStr">
        <is>
          <t>Estonia</t>
        </is>
      </c>
      <c r="O2" s="7" t="n">
        <v>7.84</v>
      </c>
      <c r="P2" s="2" t="n">
        <v>27</v>
      </c>
      <c r="Q2" s="2" t="n"/>
    </row>
    <row r="3">
      <c r="A3" s="2" t="inlineStr">
        <is>
          <t>Arco Vara выбрала нового руководителя</t>
        </is>
      </c>
      <c r="B3" s="2">
        <f>HYPERLINK("https://www.dv.ee/novosti/2026/02/26/arco-vara-vybrala-novogo-rukovoditelja")</f>
        <v/>
      </c>
      <c r="C3" s="2" t="inlineStr"/>
      <c r="D3" s="2" t="inlineStr">
        <is>
          <t>Delovõje Vedomosti</t>
        </is>
      </c>
      <c r="E3" s="8" t="n">
        <v>46079.13699074074</v>
      </c>
      <c r="F3" s="2" t="inlineStr">
        <is>
          <t>Ранее он работал руководителем девелоперских проектов в компании Kapitel AS, а также управлял портфелем недвижимости в эстонской дочерней компании Swedbank — Ektornet Management Estonia OÜ.
Похожие статьи
Сегодня стало известно, что Кристина Мустонен покидает пост руководителя Arco Vara.</t>
        </is>
      </c>
      <c r="G3" s="2" t="n">
        <v>40321</v>
      </c>
      <c r="H3" s="2" t="n">
        <v>0</v>
      </c>
      <c r="I3" s="2" t="n">
        <v>0</v>
      </c>
      <c r="J3" s="2" t="n">
        <v>0</v>
      </c>
      <c r="K3" s="2" t="n"/>
      <c r="L3" s="2" t="inlineStr">
        <is>
          <t>Tallinn</t>
        </is>
      </c>
      <c r="M3" s="2" t="inlineStr">
        <is>
          <t>Harjumaa</t>
        </is>
      </c>
      <c r="N3" s="2" t="inlineStr">
        <is>
          <t>Estonia</t>
        </is>
      </c>
      <c r="O3" s="7" t="n">
        <v>372.97</v>
      </c>
      <c r="P3" s="2" t="n">
        <v>41</v>
      </c>
      <c r="Q3" s="2" t="n"/>
    </row>
    <row r="4">
      <c r="A4" s="2" t="inlineStr">
        <is>
          <t>Arco Vara sai pangast uue juhi</t>
        </is>
      </c>
      <c r="B4" s="2">
        <f>HYPERLINK("https://majandus.postimees.ee/8423216/arco-vara-sai-pangast-uue-juhi")</f>
        <v/>
      </c>
      <c r="C4" s="2" t="inlineStr">
        <is>
          <t>Romet Kreek</t>
        </is>
      </c>
      <c r="D4" s="2" t="inlineStr">
        <is>
          <t>Majandus Postimees</t>
        </is>
      </c>
      <c r="E4" s="8" t="n">
        <v>46079.12659722222</v>
      </c>
      <c r="F4" s="2" t="inlineStr">
        <is>
          <t>Varasemalt on ta töötanud Kapitel AS-is arendusprojektide juhina ning Swedbanki tütarettevõttes Ektornet Management Estonia OÜ kinnisvaraportfelli juhina. Aastatel 2020–2021 oli Rait Riim Arco Vara AS-i nõukogu liige, esindades seal LHV Pensionifonde.</t>
        </is>
      </c>
      <c r="G4" s="2" t="n">
        <v>115361</v>
      </c>
      <c r="H4" s="2" t="n"/>
      <c r="I4" s="2" t="n"/>
      <c r="J4" s="2" t="n"/>
      <c r="K4" s="2" t="n"/>
      <c r="L4" s="2" t="inlineStr"/>
      <c r="M4" s="2" t="inlineStr"/>
      <c r="N4" s="2" t="inlineStr">
        <is>
          <t>Estonia</t>
        </is>
      </c>
      <c r="O4" s="7" t="n">
        <v>1067.09</v>
      </c>
      <c r="P4" s="2" t="n">
        <v>72</v>
      </c>
      <c r="Q4" s="2" t="n"/>
    </row>
    <row r="5">
      <c r="A5" s="2" t="inlineStr">
        <is>
          <t>Arco Vara: Rait Riim appointed as the new CEO of Arco Vara AS</t>
        </is>
      </c>
      <c r="B5" s="2">
        <f>HYPERLINK("https://www.adaur.ee/arco-vara-rait-riim-appointed-as-the-new-ceo-of-arco-vara-as/")</f>
        <v/>
      </c>
      <c r="C5" s="2" t="inlineStr"/>
      <c r="D5" s="2" t="inlineStr">
        <is>
          <t>adaur.ee</t>
        </is>
      </c>
      <c r="E5" s="8" t="n">
        <v>46079.04233796296</v>
      </c>
      <c r="F5" s="2" t="inlineStr">
        <is>
          <t>Previously, he has served as Development Project Manager at Kapitel AS and as Real Estate Portfolio Manager at Ektornet Management Estonia OÜ, a subsidiary of Swedbank. From 2020 to 2021, Rait Riim was a member of the Supervisory Board of Arco Vara AS, representing LHV Pension Funds.</t>
        </is>
      </c>
      <c r="G5" s="2" t="n">
        <v>848</v>
      </c>
      <c r="H5" s="2" t="n"/>
      <c r="I5" s="2" t="n"/>
      <c r="J5" s="2" t="n"/>
      <c r="K5" s="2" t="inlineStr">
        <is>
          <t>Positive</t>
        </is>
      </c>
      <c r="L5" s="2" t="inlineStr">
        <is>
          <t>Tallinn</t>
        </is>
      </c>
      <c r="M5" s="2" t="inlineStr"/>
      <c r="N5" s="2" t="inlineStr">
        <is>
          <t>Estonia</t>
        </is>
      </c>
      <c r="O5" s="7" t="n">
        <v>7.84</v>
      </c>
      <c r="P5" s="2" t="n">
        <v>27</v>
      </c>
      <c r="Q5" s="2" t="n"/>
    </row>
    <row r="6">
      <c r="A6" s="2" t="inlineStr">
        <is>
          <t>Estonia's first 'drive-in' art exhibition opens under Freedom Square</t>
        </is>
      </c>
      <c r="B6" s="2">
        <f>HYPERLINK("https://news.err.ee/1609946756/estonia-s-first-drive-in-art-exhibition-opens-under-freedom-square")</f>
        <v/>
      </c>
      <c r="C6" s="2" t="inlineStr"/>
      <c r="D6" s="2" t="inlineStr">
        <is>
          <t>Estonian Public Broadcasting</t>
        </is>
      </c>
      <c r="E6" s="8" t="n">
        <v>46073.06762731481</v>
      </c>
      <c r="F6" s="2" t="inlineStr">
        <is>
          <t>Outside of the subterranean parking lot, the nearby Danish King's Garden ("Taani kuninga aed") hosts monk sculptures by Simson von Seakyll and Paul Mänd, while Merko has also installed, commissioned by Kapitel and in cooperation with the City of Tallinn, contemporary façade lighting on the Old Town walls</t>
        </is>
      </c>
      <c r="G6" s="2" t="n">
        <v>191882</v>
      </c>
      <c r="H6" s="2" t="n">
        <v>0</v>
      </c>
      <c r="I6" s="2" t="n">
        <v>0</v>
      </c>
      <c r="J6" s="2" t="n">
        <v>0</v>
      </c>
      <c r="K6" s="2" t="inlineStr">
        <is>
          <t>Positive</t>
        </is>
      </c>
      <c r="L6" s="2" t="inlineStr">
        <is>
          <t>Tallinn</t>
        </is>
      </c>
      <c r="M6" s="2" t="inlineStr"/>
      <c r="N6" s="2" t="inlineStr">
        <is>
          <t>Estonia</t>
        </is>
      </c>
      <c r="O6" s="7" t="n">
        <v>1774.91</v>
      </c>
      <c r="P6" s="2" t="n">
        <v>76</v>
      </c>
      <c r="Q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2026-03-02T08:09:26Z</dcterms:created>
  <dcterms:modified xmlns:dcterms="http://purl.org/dc/terms/" xmlns:xsi="http://www.w3.org/2001/XMLSchema-instance" xsi:type="dcterms:W3CDTF">2026-03-02T08:09:26Z</dcterms:modified>
</cp:coreProperties>
</file>