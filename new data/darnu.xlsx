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Summary" sheetId="1" state="visible" r:id="rId1"/>
    <sheet xmlns:r="http://schemas.openxmlformats.org/officeDocument/2006/relationships" name="Articles" sheetId="2" state="visible" r:id="rId2"/>
  </sheets>
  <definedNames/>
  <calcPr calcId="124519" fullCalcOnLoad="1"/>
</workbook>
</file>

<file path=xl/styles.xml><?xml version="1.0" encoding="utf-8"?>
<styleSheet xmlns="http://schemas.openxmlformats.org/spreadsheetml/2006/main">
  <numFmts count="3">
    <numFmt numFmtId="164" formatCode="YYYY-mm-dd"/>
    <numFmt numFmtId="165" formatCode="&quot;$&quot;#,##0.00_-"/>
    <numFmt numFmtId="166" formatCode="YYYY-mm-dd HH:MM:SS"/>
  </numFmts>
  <fonts count="3">
    <font>
      <name val="Calibri"/>
      <family val="2"/>
      <color theme="1"/>
      <sz val="11"/>
      <scheme val="minor"/>
    </font>
    <font>
      <name val="Arial"/>
      <b val="1"/>
      <sz val="10"/>
    </font>
    <font>
      <name val="Arial"/>
      <sz val="10"/>
    </font>
  </fonts>
  <fills count="2">
    <fill>
      <patternFill/>
    </fill>
    <fill>
      <patternFill patternType="gray125"/>
    </fill>
  </fills>
  <borders count="2">
    <border>
      <left/>
      <right/>
      <top/>
      <bottom/>
      <diagonal/>
    </border>
    <border/>
  </borders>
  <cellStyleXfs count="6">
    <xf numFmtId="0" fontId="0" fillId="0" borderId="0"/>
    <xf numFmtId="0" fontId="1" fillId="0" borderId="1"/>
    <xf numFmtId="0" fontId="2" fillId="0" borderId="1" applyAlignment="1">
      <alignment vertical="top" wrapText="1"/>
    </xf>
    <xf numFmtId="164" fontId="2" fillId="0" borderId="1" applyAlignment="1">
      <alignment vertical="top" wrapText="1"/>
    </xf>
    <xf numFmtId="165" fontId="2" fillId="0" borderId="1" applyAlignment="1">
      <alignment vertical="top" wrapText="1"/>
    </xf>
    <xf numFmtId="166" fontId="2" fillId="0" borderId="1" applyAlignment="1">
      <alignment vertical="top" wrapText="1"/>
    </xf>
  </cellStyleXfs>
  <cellXfs count="9">
    <xf numFmtId="0" fontId="0" fillId="0" borderId="0" pivotButton="0" quotePrefix="0" xfId="0"/>
    <xf numFmtId="0" fontId="1" fillId="0" borderId="1" pivotButton="0" quotePrefix="0" xfId="1"/>
    <xf numFmtId="0" fontId="2" fillId="0" borderId="1" applyAlignment="1" pivotButton="0" quotePrefix="0" xfId="2">
      <alignment vertical="top" wrapText="1"/>
    </xf>
    <xf numFmtId="164" fontId="2" fillId="0" borderId="1" applyAlignment="1" pivotButton="0" quotePrefix="0" xfId="3">
      <alignment vertical="top" wrapText="1"/>
    </xf>
    <xf numFmtId="165" fontId="2" fillId="0" borderId="1" applyAlignment="1" pivotButton="0" quotePrefix="0" xfId="4">
      <alignment vertical="top" wrapText="1"/>
    </xf>
    <xf numFmtId="166" fontId="2" fillId="0" borderId="1" applyAlignment="1" pivotButton="0" quotePrefix="0" xfId="5">
      <alignment vertical="top" wrapText="1"/>
    </xf>
    <xf numFmtId="164" fontId="2" fillId="0" borderId="1" applyAlignment="1" pivotButton="0" quotePrefix="0" xfId="3">
      <alignment vertical="top" wrapText="1"/>
    </xf>
    <xf numFmtId="165" fontId="2" fillId="0" borderId="1" applyAlignment="1" pivotButton="0" quotePrefix="0" xfId="4">
      <alignment vertical="top" wrapText="1"/>
    </xf>
    <xf numFmtId="166" fontId="2" fillId="0" borderId="1" applyAlignment="1" pivotButton="0" quotePrefix="0" xfId="5">
      <alignment vertical="top" wrapText="1"/>
    </xf>
  </cellXfs>
  <cellStyles count="6">
    <cellStyle name="Normal" xfId="0" builtinId="0" hidden="0"/>
    <cellStyle name="mr_header" xfId="1" hidden="0"/>
    <cellStyle name="mr_normal" xfId="2" hidden="0"/>
    <cellStyle name="mr_date" xfId="3" hidden="0"/>
    <cellStyle name="mr_currency" xfId="4" hidden="0"/>
    <cellStyle name="mr_datetime"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32" customWidth="1" min="2" max="2"/>
  </cols>
  <sheetData>
    <row r="1">
      <c r="A1" s="1" t="inlineStr">
        <is>
          <t>Report</t>
        </is>
      </c>
      <c r="B1" s="2" t="inlineStr">
        <is>
          <t>Darnu</t>
        </is>
      </c>
    </row>
    <row r="2">
      <c r="A2" s="1" t="inlineStr">
        <is>
          <t>URL</t>
        </is>
      </c>
      <c r="B2" s="2">
        <f>HYPERLINK("https://particle-agency.muckrack.com/coverage-reports/gMXL/edit/")</f>
        <v/>
      </c>
    </row>
    <row r="3">
      <c r="A3" s="1" t="inlineStr">
        <is>
          <t>Exported On</t>
        </is>
      </c>
      <c r="B3" s="6" t="n">
        <v>46083</v>
      </c>
    </row>
    <row r="4">
      <c r="A4" s="1" t="inlineStr">
        <is>
          <t>Generated By</t>
        </is>
      </c>
      <c r="B4" s="2" t="inlineStr">
        <is>
          <t>Ieva Mackeviciute</t>
        </is>
      </c>
    </row>
    <row r="6">
      <c r="A6" s="1" t="inlineStr">
        <is>
          <t>Links</t>
        </is>
      </c>
      <c r="B6" s="2" t="n">
        <v>31</v>
      </c>
    </row>
    <row r="7">
      <c r="A7" s="1" t="inlineStr">
        <is>
          <t>Total Engagement</t>
        </is>
      </c>
      <c r="B7" s="2" t="n">
        <v>62</v>
      </c>
    </row>
    <row r="8">
      <c r="A8" s="1" t="inlineStr">
        <is>
          <t>Average Engagement</t>
        </is>
      </c>
      <c r="B8" s="2" t="n">
        <v>2</v>
      </c>
    </row>
    <row r="9">
      <c r="A9" s="1" t="inlineStr">
        <is>
          <t>Total UVM (Insights by Similarweb)</t>
        </is>
      </c>
      <c r="B9" s="2" t="n">
        <v>16360188</v>
      </c>
    </row>
    <row r="10">
      <c r="A10" s="1" t="inlineStr">
        <is>
          <t>Total AVE</t>
        </is>
      </c>
      <c r="B10" s="7" t="n">
        <v>151331.68</v>
      </c>
    </row>
    <row r="11">
      <c r="A11" s="1" t="inlineStr">
        <is>
          <t>Total Journalist Shares</t>
        </is>
      </c>
      <c r="B11" s="2" t="n">
        <v>0</v>
      </c>
    </row>
    <row r="12">
      <c r="A12" s="1" t="inlineStr">
        <is>
          <t>Total Journalist Reach</t>
        </is>
      </c>
      <c r="B12"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2"/>
  <sheetViews>
    <sheetView workbookViewId="0">
      <selection activeCell="A1" sqref="A1"/>
    </sheetView>
  </sheetViews>
  <sheetFormatPr baseColWidth="8" defaultRowHeight="15"/>
  <cols>
    <col width="48" customWidth="1" min="1" max="1"/>
    <col width="32" customWidth="1" min="2" max="2"/>
    <col width="24" customWidth="1" min="3" max="3"/>
    <col width="24" customWidth="1" min="4" max="4"/>
    <col width="19" customWidth="1" min="5" max="5"/>
    <col width="48" customWidth="1" min="6" max="6"/>
    <col width="28" customWidth="1" min="7" max="7"/>
    <col width="17" customWidth="1" min="8" max="8"/>
    <col width="16" customWidth="1" min="9" max="9"/>
    <col width="16" customWidth="1" min="10" max="10"/>
    <col width="13" customWidth="1" min="11" max="11"/>
    <col width="17" customWidth="1" min="12" max="12"/>
    <col width="19" customWidth="1" min="13" max="13"/>
    <col width="24" customWidth="1" min="14" max="14"/>
    <col width="29" customWidth="1" min="15" max="15"/>
    <col width="34" customWidth="1" min="16" max="16"/>
    <col width="24" customWidth="1" min="17" max="17"/>
  </cols>
  <sheetData>
    <row r="1">
      <c r="A1" s="1" t="inlineStr">
        <is>
          <t>Article</t>
        </is>
      </c>
      <c r="B1" s="1" t="inlineStr">
        <is>
          <t>URL</t>
        </is>
      </c>
      <c r="C1" s="1" t="inlineStr">
        <is>
          <t>Author</t>
        </is>
      </c>
      <c r="D1" s="1" t="inlineStr">
        <is>
          <t>Media Outlet</t>
        </is>
      </c>
      <c r="E1" s="1" t="inlineStr">
        <is>
          <t>Published</t>
        </is>
      </c>
      <c r="F1" s="1" t="inlineStr">
        <is>
          <t>Snippet</t>
        </is>
      </c>
      <c r="G1" s="1" t="inlineStr">
        <is>
          <t>UVM (Insights by Similarweb)</t>
        </is>
      </c>
      <c r="H1" s="1" t="inlineStr">
        <is>
          <t>Journalist Shares</t>
        </is>
      </c>
      <c r="I1" s="1" t="inlineStr">
        <is>
          <t>Journalist Reach</t>
        </is>
      </c>
      <c r="J1" s="1" t="inlineStr">
        <is>
          <t>Total Engagement</t>
        </is>
      </c>
      <c r="K1" s="1" t="inlineStr">
        <is>
          <t>Sentiment</t>
        </is>
      </c>
      <c r="L1" s="1" t="inlineStr">
        <is>
          <t>Media Outlet City</t>
        </is>
      </c>
      <c r="M1" s="1" t="inlineStr">
        <is>
          <t>Media Outlet Region</t>
        </is>
      </c>
      <c r="N1" s="1" t="inlineStr">
        <is>
          <t>Media Outlet Country</t>
        </is>
      </c>
      <c r="O1" s="1" t="inlineStr">
        <is>
          <t>Advertising Value Equivalency</t>
        </is>
      </c>
      <c r="P1" s="1" t="inlineStr">
        <is>
          <t>Domain Authority (provided by Moz)</t>
        </is>
      </c>
      <c r="Q1" s="1" t="inlineStr">
        <is>
          <t>Pitch Placement</t>
        </is>
      </c>
    </row>
    <row r="2">
      <c r="A2" s="2" t="inlineStr">
        <is>
          <t>Prancūziška dvasia alsuojančio buto Užupyje interjeras: baltos spalvos žaismas</t>
        </is>
      </c>
      <c r="B2" s="2">
        <f>HYPERLINK("https://www.moteris.lt/lt/manonamai/g-63539-prancuziska-dvasia-alsuojancio-buto-uzupyje-interjeras-baltos-spalvos-zaismas")</f>
        <v/>
      </c>
      <c r="C2" s="2" t="inlineStr"/>
      <c r="D2" s="2" t="inlineStr">
        <is>
          <t>Moteris</t>
        </is>
      </c>
      <c r="E2" s="8" t="n">
        <v>46080.21894675926</v>
      </c>
      <c r="F2" s="2" t="inlineStr">
        <is>
          <t>Darnų duetą sudaro stiklinis valgomojo stalas ir lengvumo įspūdį suteikiančios kėdės. Jų elegantiškos plonos ir siaurėjančios kojelės dera su XIX a. indauja ir kartu kontrastuoja su masyviais virtuvės baldais, natūralaus granito stalviršiu.</t>
        </is>
      </c>
      <c r="G2" s="2" t="n">
        <v>51237</v>
      </c>
      <c r="H2" s="2" t="n">
        <v>0</v>
      </c>
      <c r="I2" s="2" t="n">
        <v>0</v>
      </c>
      <c r="J2" s="2" t="n">
        <v>62</v>
      </c>
      <c r="K2" s="2" t="n"/>
      <c r="L2" s="2" t="inlineStr"/>
      <c r="M2" s="2" t="inlineStr"/>
      <c r="N2" s="2" t="inlineStr">
        <is>
          <t>Lithuania</t>
        </is>
      </c>
      <c r="O2" s="7" t="n">
        <v>473.94</v>
      </c>
      <c r="P2" s="2" t="n">
        <v>33</v>
      </c>
      <c r="Q2" s="2" t="n"/>
    </row>
    <row r="3">
      <c r="A3" s="2" t="inlineStr">
        <is>
          <t>Statybunaujienos.lt - Paklausa diktuoja taisykles: pusmečiu anksčiau startuoja naujo „Bajorų alėjų“ namo pardavimai</t>
        </is>
      </c>
      <c r="B3" s="2">
        <f>HYPERLINK("https://www.statybunaujienos.lt/naujiena/Paklausa-diktuoja-taisykles-pusmeciu-anksciau-startuoja-naujo-Bajoru-aleju-namo-pardavimai/26162")</f>
        <v/>
      </c>
      <c r="C3" s="2" t="inlineStr"/>
      <c r="D3" s="2" t="inlineStr">
        <is>
          <t>statybunaujienos.lt</t>
        </is>
      </c>
      <c r="E3" s="8" t="n">
        <v>46080.10060185185</v>
      </c>
      <c r="F3" s="2" t="inlineStr">
        <is>
          <t>Įmonei jau išduotas statybų leidimas numatytiems darbams.
2026-01-19 11:22
Nekilnojamojo turto plėtros bendrovė „Darnu Group“ pradeda butų pardavimus jau statomame antrajame „Sakų“ projekto kvartale „Miško vilos“, įsikūrusiose šalia miškingo Karoliniškių kraštovaizdžio draustinio.</t>
        </is>
      </c>
      <c r="G3" s="2" t="n">
        <v>5370</v>
      </c>
      <c r="H3" s="2" t="n">
        <v>0</v>
      </c>
      <c r="I3" s="2" t="n">
        <v>0</v>
      </c>
      <c r="J3" s="2" t="n">
        <v>0</v>
      </c>
      <c r="K3" s="2" t="n"/>
      <c r="L3" s="2" t="inlineStr"/>
      <c r="M3" s="2" t="inlineStr"/>
      <c r="N3" s="2" t="inlineStr">
        <is>
          <t>Lithuania</t>
        </is>
      </c>
      <c r="O3" s="7" t="n">
        <v>49.67</v>
      </c>
      <c r="P3" s="2" t="n">
        <v>27</v>
      </c>
      <c r="Q3" s="2" t="n"/>
    </row>
    <row r="4">
      <c r="A4" s="2" t="inlineStr">
        <is>
          <t>Statybunaujienos.lt - Palangoje planuojamas kompleksas su 120 butų</t>
        </is>
      </c>
      <c r="B4" s="2">
        <f>HYPERLINK("https://www.statybunaujienos.lt/naujiena/Palangoje-planuojamas-kompleksas-su-120-butu/26154")</f>
        <v/>
      </c>
      <c r="C4" s="2" t="inlineStr"/>
      <c r="D4" s="2" t="inlineStr">
        <is>
          <t>statybunaujienos.lt</t>
        </is>
      </c>
      <c r="E4" s="8" t="n">
        <v>46079.11791666667</v>
      </c>
      <c r="F4" s="2" t="inlineStr">
        <is>
          <t>Įmonei jau išduotas statybų leidimas numatytiems darbams.
2026-01-19 11:22
Nekilnojamojo turto plėtros bendrovė „Darnu Group“ pradeda butų pardavimus jau statomame antrajame „Sakų“ projekto kvartale „Miško vilos“, įsikūrusiose šalia miškingo Karoliniškių kraštovaizdžio draustinio.</t>
        </is>
      </c>
      <c r="G4" s="2" t="n">
        <v>5370</v>
      </c>
      <c r="H4" s="2" t="n">
        <v>0</v>
      </c>
      <c r="I4" s="2" t="n">
        <v>0</v>
      </c>
      <c r="J4" s="2" t="n">
        <v>0</v>
      </c>
      <c r="K4" s="2" t="n"/>
      <c r="L4" s="2" t="inlineStr"/>
      <c r="M4" s="2" t="inlineStr"/>
      <c r="N4" s="2" t="inlineStr">
        <is>
          <t>Lithuania</t>
        </is>
      </c>
      <c r="O4" s="7" t="n">
        <v>49.67</v>
      </c>
      <c r="P4" s="2" t="n">
        <v>27</v>
      </c>
      <c r="Q4" s="2" t="n"/>
    </row>
    <row r="5">
      <c r="A5" s="2" t="inlineStr">
        <is>
          <t>Sostinės restoranas planavo naują veiklą, bet bankrutuoja</t>
        </is>
      </c>
      <c r="B5" s="2">
        <f>HYPERLINK("https://www.15min.lt/verslas/naujiena/bendroves/sostines-restoranas-planavo-nauja-veikla-bet-bankrutuoja-663-2629826")</f>
        <v/>
      </c>
      <c r="C5" s="2" t="inlineStr"/>
      <c r="D5" s="2" t="inlineStr">
        <is>
          <t>15min</t>
        </is>
      </c>
      <c r="E5" s="8" t="n">
        <v>46079.11193287037</v>
      </c>
      <c r="F5" s="2" t="inlineStr">
        <is>
          <t>„Verslo trikampį“ valdanti NT plėtros bendrovė „Darnu Group“ vz.lt nurodo, kad šiuo metu aktyviai deramasi dėl patalpų nuomos su keletu maisto įstaigų operatorių. Tikimasi, kad nuomos sutartis bus pasirašyta per kovo mėnesį.</t>
        </is>
      </c>
      <c r="G5" s="2" t="n">
        <v>1426746</v>
      </c>
      <c r="H5" s="2" t="n"/>
      <c r="I5" s="2" t="n"/>
      <c r="J5" s="2" t="n"/>
      <c r="K5" s="2" t="n"/>
      <c r="L5" s="2" t="inlineStr">
        <is>
          <t>Vilnius</t>
        </is>
      </c>
      <c r="M5" s="2" t="inlineStr">
        <is>
          <t>Vilniaus Apskritis</t>
        </is>
      </c>
      <c r="N5" s="2" t="inlineStr">
        <is>
          <t>Lithuania</t>
        </is>
      </c>
      <c r="O5" s="7" t="n">
        <v>13197.4</v>
      </c>
      <c r="P5" s="2" t="n">
        <v>73</v>
      </c>
      <c r="Q5" s="2" t="n"/>
    </row>
    <row r="6">
      <c r="A6" s="2" t="inlineStr">
        <is>
          <t>Planavo naują veiklą, bet bankrutuoja: sostinėje duris uždaro dar vienas restoranas</t>
        </is>
      </c>
      <c r="B6" s="2">
        <f>HYPERLINK("https://www.lrytas.lt/verslas/rinkos-pulsas/2026/02/26/news/planavo-nauja-veikla-bet-bankrutuoja-sostineje-duris-uzdaro-dar-vienas-restoranas-41471964")</f>
        <v/>
      </c>
      <c r="C6" s="2" t="inlineStr"/>
      <c r="D6" s="2" t="inlineStr">
        <is>
          <t>lrytas.lt</t>
        </is>
      </c>
      <c r="E6" s="8" t="n">
        <v>46079.08925925926</v>
      </c>
      <c r="F6" s="2" t="inlineStr">
        <is>
          <t>„Verslo trikampį“ valdanti NT plėtros bendrovė „Darnu Group“ nurodo, kad šiuo metu aktyviai deramasi dėl patalpų nuomos su keletu maisto įstaigų operatorių. Aiškinama, kad „Livin“ pietų restoranas Vilniuje, J. Jasinskio g., „Verslo trikampio“ komplekse, buvo uždarytas sausio viduryje.</t>
        </is>
      </c>
      <c r="G6" s="2" t="n">
        <v>1072624</v>
      </c>
      <c r="H6" s="2" t="n">
        <v>0</v>
      </c>
      <c r="I6" s="2" t="n">
        <v>0</v>
      </c>
      <c r="J6" s="2" t="n">
        <v>0</v>
      </c>
      <c r="K6" s="2" t="n"/>
      <c r="L6" s="2" t="inlineStr"/>
      <c r="M6" s="2" t="inlineStr"/>
      <c r="N6" s="2" t="inlineStr">
        <is>
          <t>Lithuania</t>
        </is>
      </c>
      <c r="O6" s="7" t="n">
        <v>9921.77</v>
      </c>
      <c r="P6" s="2" t="n">
        <v>70</v>
      </c>
      <c r="Q6" s="2" t="n"/>
    </row>
    <row r="7">
      <c r="A7" s="2" t="inlineStr">
        <is>
          <t>Taškas dešimtmečio istorijoje: Telecentras pasiekė taiką su „Darnu Group“ dėl sklypo Vilniuje</t>
        </is>
      </c>
      <c r="B7" s="2">
        <f>HYPERLINK("https://www.vz.lt/statyba-ir-nt/2026/02/26/taskas-desimtmecio-istorijoje-telecentras-pasieke-taika-su-darnu-group-del-sklypo-vilniuje-581121")</f>
        <v/>
      </c>
      <c r="C7" s="2" t="inlineStr">
        <is>
          <t>Kamilė Gineikaitė</t>
        </is>
      </c>
      <c r="D7" s="2" t="inlineStr">
        <is>
          <t>Verslo Žinios</t>
        </is>
      </c>
      <c r="E7" s="8" t="n">
        <v>46079.06560185185</v>
      </c>
      <c r="F7" s="2" t="inlineStr">
        <is>
          <t>AB Lietuvos radijo ir televizijos centras (Telecentras) sudarė taikos sutartį su nekilnojamojo turto plėtros (NT) bendrove „Darnu Group“ dėl objekto sostinės Viršuliškėse. Telecentras iš NT plėtotojos gavo perpus mažiau, nei reikalavo.</t>
        </is>
      </c>
      <c r="G7" s="2" t="n">
        <v>1213714</v>
      </c>
      <c r="H7" s="2" t="n"/>
      <c r="I7" s="2" t="n"/>
      <c r="J7" s="2" t="n"/>
      <c r="K7" s="2" t="n"/>
      <c r="L7" s="2" t="inlineStr">
        <is>
          <t>Vilnius</t>
        </is>
      </c>
      <c r="M7" s="2" t="inlineStr"/>
      <c r="N7" s="2" t="inlineStr">
        <is>
          <t>Lithuania</t>
        </is>
      </c>
      <c r="O7" s="7" t="n">
        <v>11226.85</v>
      </c>
      <c r="P7" s="2" t="n">
        <v>58</v>
      </c>
      <c r="Q7" s="2" t="n"/>
    </row>
    <row r="8">
      <c r="A8" s="2" t="inlineStr">
        <is>
          <t>Statybunaujienos.lt - Voluojamas betonas (RCC): technologiniai pranašumai ir ekonominis efektyvumas</t>
        </is>
      </c>
      <c r="B8" s="2">
        <f>HYPERLINK("https://www.statybunaujienos.lt/naujiena/Voluojamas-betonas-RCC-technologiniai-pranasumai-ir-ekonominis-efektyvumas/26147")</f>
        <v/>
      </c>
      <c r="C8" s="2" t="inlineStr"/>
      <c r="D8" s="2" t="inlineStr">
        <is>
          <t>statybunaujienos.lt</t>
        </is>
      </c>
      <c r="E8" s="8" t="n">
        <v>46079.02645833333</v>
      </c>
      <c r="F8" s="2" t="inlineStr">
        <is>
          <t>gamybos grupių Baltijos šalyse AB „Akola group“ per valdomą bendrovę „Vilniaus paukštyną“ vertina galimybę Kaišiadoryse įgyvendinti šalutinių gyvūninių produktų perdirbimo infrastruktūros plėtros projektą, kurio vertė gali siekti iki 34 mln. eurų.
2026-01-26 10:13
Nekilnojamojo turto plėtros bendrovė „Darnu</t>
        </is>
      </c>
      <c r="G8" s="2" t="n">
        <v>5370</v>
      </c>
      <c r="H8" s="2" t="n">
        <v>0</v>
      </c>
      <c r="I8" s="2" t="n">
        <v>0</v>
      </c>
      <c r="J8" s="2" t="n">
        <v>0</v>
      </c>
      <c r="K8" s="2" t="n"/>
      <c r="L8" s="2" t="inlineStr"/>
      <c r="M8" s="2" t="inlineStr"/>
      <c r="N8" s="2" t="inlineStr">
        <is>
          <t>Lithuania</t>
        </is>
      </c>
      <c r="O8" s="7" t="n">
        <v>49.67</v>
      </c>
      <c r="P8" s="2" t="n">
        <v>27</v>
      </c>
      <c r="Q8" s="2" t="n"/>
    </row>
    <row r="9">
      <c r="A9" s="2" t="inlineStr">
        <is>
          <t>Sostinės restoranas planavo naują veiklą, bet bankrutuoja  - Verslo žinios</t>
        </is>
      </c>
      <c r="B9" s="2">
        <f>HYPERLINK("https://www.vz.lt/mano-verslas/2026/02/25/sostines-restoranas-planavo-nauja-veikla-bet-bankrutuoja-581177")</f>
        <v/>
      </c>
      <c r="C9" s="2" t="inlineStr">
        <is>
          <t>Gabija Sabaliauskaitė</t>
        </is>
      </c>
      <c r="D9" s="2" t="inlineStr">
        <is>
          <t>Verslo Žinios</t>
        </is>
      </c>
      <c r="E9" s="8" t="n">
        <v>46078.94791666666</v>
      </c>
      <c r="F9" s="2" t="inlineStr">
        <is>
          <t>„Verslo trikampį“ valdanti NT plėtros bendrovė „Darnu Group“ VŽ nurodo, kad šiuo metu aktyviai deramasi dėl patalpų nuomos su keletu maisto įstaigų operatorių. Tikimasi, kad nuomos sutartis bus pasirašyta per kovo mėnesį.</t>
        </is>
      </c>
      <c r="G9" s="2" t="n">
        <v>1213714</v>
      </c>
      <c r="H9" s="2" t="n"/>
      <c r="I9" s="2" t="n"/>
      <c r="J9" s="2" t="n"/>
      <c r="K9" s="2" t="n"/>
      <c r="L9" s="2" t="inlineStr">
        <is>
          <t>Vilnius</t>
        </is>
      </c>
      <c r="M9" s="2" t="inlineStr"/>
      <c r="N9" s="2" t="inlineStr">
        <is>
          <t>Lithuania</t>
        </is>
      </c>
      <c r="O9" s="7" t="n">
        <v>11226.85</v>
      </c>
      <c r="P9" s="2" t="n">
        <v>58</v>
      </c>
      <c r="Q9" s="2" t="n"/>
    </row>
    <row r="10">
      <c r="A10" s="2" t="inlineStr">
        <is>
          <t>„Darnu Group“ ir Telecentras taikiai sutarė dėl kompensacijos už statinius Viršuliškėse</t>
        </is>
      </c>
      <c r="B10" s="2">
        <f>HYPERLINK("https://www.lrt.lt/naujienos/verslas/4/2850046/darnu-group-ir-telecentras-taikiai-sutare-del-kompensacijos-uz-statinius-virsuliskese")</f>
        <v/>
      </c>
      <c r="C10" s="2" t="inlineStr">
        <is>
          <t>Erika Alonderytė-Kazlauskė</t>
        </is>
      </c>
      <c r="D10" s="2" t="inlineStr">
        <is>
          <t>Lithuanian National Radio and Television (LRT)</t>
        </is>
      </c>
      <c r="E10" s="8" t="n">
        <v>46078.07145833333</v>
      </c>
      <c r="F10" s="2" t="inlineStr">
        <is>
          <t>„MG grupės“ valdoma nekilnojamojo turto plėtros bendrovė „Darnu Group“ taikiai susitarė su Lietuvos radijo ir televizijos centru (Telecentru) dėl žalos už sugadintą turtą – statinius Vilniuje, Viršuliškėse.</t>
        </is>
      </c>
      <c r="G10" s="2" t="n">
        <v>1529307</v>
      </c>
      <c r="H10" s="2" t="n"/>
      <c r="I10" s="2" t="n"/>
      <c r="J10" s="2" t="n"/>
      <c r="K10" s="2" t="n"/>
      <c r="L10" s="2" t="inlineStr">
        <is>
          <t>Vilnius</t>
        </is>
      </c>
      <c r="M10" s="2" t="inlineStr">
        <is>
          <t>Vilniaus Apskritis</t>
        </is>
      </c>
      <c r="N10" s="2" t="inlineStr">
        <is>
          <t>Lithuania</t>
        </is>
      </c>
      <c r="O10" s="7" t="n">
        <v>14146.09</v>
      </c>
      <c r="P10" s="2" t="n">
        <v>68</v>
      </c>
      <c r="Q10" s="2" t="n"/>
    </row>
    <row r="11">
      <c r="A11" s="2" t="inlineStr">
        <is>
          <t>„Darnu Group“ ir Telecentras taikiai sutarė dėl kompensacijos už statinius Viršuliškėse</t>
        </is>
      </c>
      <c r="B11" s="2">
        <f>HYPERLINK("https://www.15min.lt/verslas/naujiena/finansai/darnu-group-ir-telecentras-taikiai-sutare-del-kompensacijos-uz-statinius-virsuliskese-662-2628850")</f>
        <v/>
      </c>
      <c r="C11" s="2" t="inlineStr">
        <is>
          <t>Erika Alonderytė</t>
        </is>
      </c>
      <c r="D11" s="2" t="inlineStr">
        <is>
          <t>15min</t>
        </is>
      </c>
      <c r="E11" s="8" t="n">
        <v>46078.06800925926</v>
      </c>
      <c r="F11" s="2" t="inlineStr">
        <is>
          <t>Telecentro komunikacijos vadovas Valdas Kaminskas BNS sakė negalintis pakomentuoti taikos sutarties sąlygų, jis taip pat nepatvirtino ir nepaneigė, kad pagal sutartį „Darnu Group“ sumokės įmonei 190,6 tūkst. eurų.</t>
        </is>
      </c>
      <c r="G11" s="2" t="n">
        <v>1426746</v>
      </c>
      <c r="H11" s="2" t="n"/>
      <c r="I11" s="2" t="n"/>
      <c r="J11" s="2" t="n"/>
      <c r="K11" s="2" t="n"/>
      <c r="L11" s="2" t="inlineStr">
        <is>
          <t>Vilnius</t>
        </is>
      </c>
      <c r="M11" s="2" t="inlineStr">
        <is>
          <t>Vilniaus Apskritis</t>
        </is>
      </c>
      <c r="N11" s="2" t="inlineStr">
        <is>
          <t>Lithuania</t>
        </is>
      </c>
      <c r="O11" s="7" t="n">
        <v>13197.4</v>
      </c>
      <c r="P11" s="2" t="n">
        <v>73</v>
      </c>
      <c r="Q11" s="2" t="n"/>
    </row>
    <row r="12">
      <c r="A12" s="2" t="inlineStr">
        <is>
          <t>Statybunaujienos.lt - Tarp Žvėryno ir Šeškinės plėtojamas „Paukščių takas“: 30 butų, biurai ir paslaugų erdvės iki 2027 m. rudens</t>
        </is>
      </c>
      <c r="B12" s="2">
        <f>HYPERLINK("https://www.statybunaujienos.lt/naujiena/Tarp-Zveryno-ir-Seskines-pletojamas-Pauksciu-takas-30-butu-biurai-ir-paslaugu-erdves-iki-2027-m-rudens/26143")</f>
        <v/>
      </c>
      <c r="C12" s="2" t="inlineStr"/>
      <c r="D12" s="2" t="inlineStr">
        <is>
          <t>statybunaujienos.lt</t>
        </is>
      </c>
      <c r="E12" s="8" t="n">
        <v>46077.31503472223</v>
      </c>
      <c r="F12" s="2" t="inlineStr">
        <is>
          <t>Įmonei jau išduotas statybų leidimas numatytiems darbams.
2026-01-19 11:22
Nekilnojamojo turto plėtros bendrovė „Darnu Group“ pradeda butų pardavimus jau statomame antrajame „Sakų“ projekto kvartale „Miško vilos“, įsikūrusiose šalia miškingo Karoliniškių kraštovaizdžio draustinio.</t>
        </is>
      </c>
      <c r="G12" s="2" t="n">
        <v>5370</v>
      </c>
      <c r="H12" s="2" t="n">
        <v>0</v>
      </c>
      <c r="I12" s="2" t="n">
        <v>0</v>
      </c>
      <c r="J12" s="2" t="n">
        <v>0</v>
      </c>
      <c r="K12" s="2" t="n"/>
      <c r="L12" s="2" t="inlineStr"/>
      <c r="M12" s="2" t="inlineStr"/>
      <c r="N12" s="2" t="inlineStr">
        <is>
          <t>Lithuania</t>
        </is>
      </c>
      <c r="O12" s="7" t="n">
        <v>49.67</v>
      </c>
      <c r="P12" s="2" t="n">
        <v>27</v>
      </c>
      <c r="Q12" s="2" t="n"/>
    </row>
    <row r="13">
      <c r="A13" s="2" t="inlineStr">
        <is>
          <t>Statybunaujienos.lt - Metalo–organiniai karkasai: Nobelio premija įvertintos medžiagos jau pakeliui į pramonę</t>
        </is>
      </c>
      <c r="B13" s="2">
        <f>HYPERLINK("https://www.statybunaujienos.lt/naujiena/Metaloorganiniai-karkasai-Nobelio-premija-ivertintos-medziagos-jau-pakeliui-i-pramone/26142")</f>
        <v/>
      </c>
      <c r="C13" s="2" t="inlineStr"/>
      <c r="D13" s="2" t="inlineStr">
        <is>
          <t>statybunaujienos.lt</t>
        </is>
      </c>
      <c r="E13" s="8" t="n">
        <v>46077.28990740741</v>
      </c>
      <c r="F13" s="2" t="inlineStr">
        <is>
          <t>Ambicingą projektą dar vasarą pradėjo NT plėtros bendrovė „Darnu Group“ kartu su Lietuvos hidrobiologų draugija ir profesionalių narų komanda.</t>
        </is>
      </c>
      <c r="G13" s="2" t="n">
        <v>5370</v>
      </c>
      <c r="H13" s="2" t="n">
        <v>0</v>
      </c>
      <c r="I13" s="2" t="n">
        <v>0</v>
      </c>
      <c r="J13" s="2" t="n">
        <v>0</v>
      </c>
      <c r="K13" s="2" t="n"/>
      <c r="L13" s="2" t="inlineStr"/>
      <c r="M13" s="2" t="inlineStr"/>
      <c r="N13" s="2" t="inlineStr">
        <is>
          <t>Lithuania</t>
        </is>
      </c>
      <c r="O13" s="7" t="n">
        <v>49.67</v>
      </c>
      <c r="P13" s="2" t="n">
        <v>27</v>
      </c>
      <c r="Q13" s="2" t="n"/>
    </row>
    <row r="14">
      <c r="A14" s="2" t="inlineStr">
        <is>
          <t>Statybunaujienos.lt - „Migdolų namai“ – naujas konversijos projektas Pašilaičiuose: investicijos sieks 25 mln. eurų</t>
        </is>
      </c>
      <c r="B14" s="2">
        <f>HYPERLINK("https://www.statybunaujienos.lt/naujiena/Migdolu-namai-naujas-konversijos-projektas-Pasilaiciuose-investicijos-sieks-25-mln-euru/26138")</f>
        <v/>
      </c>
      <c r="C14" s="2" t="inlineStr"/>
      <c r="D14" s="2" t="inlineStr">
        <is>
          <t>statybunaujienos.lt</t>
        </is>
      </c>
      <c r="E14" s="8" t="n">
        <v>46076.32131944445</v>
      </c>
      <c r="F14" s="2" t="inlineStr">
        <is>
          <t>Įmonei jau išduotas statybų leidimas numatytiems darbams.
2026-01-19 11:22
Nekilnojamojo turto plėtros bendrovė „Darnu Group“ pradeda butų pardavimus jau statomame antrajame „Sakų“ projekto kvartale „Miško vilos“, įsikūrusiose šalia miškingo Karoliniškių kraštovaizdžio draustinio.</t>
        </is>
      </c>
      <c r="G14" s="2" t="n">
        <v>5370</v>
      </c>
      <c r="H14" s="2" t="n">
        <v>0</v>
      </c>
      <c r="I14" s="2" t="n">
        <v>0</v>
      </c>
      <c r="J14" s="2" t="n">
        <v>0</v>
      </c>
      <c r="K14" s="2" t="n"/>
      <c r="L14" s="2" t="inlineStr"/>
      <c r="M14" s="2" t="inlineStr"/>
      <c r="N14" s="2" t="inlineStr">
        <is>
          <t>Lithuania</t>
        </is>
      </c>
      <c r="O14" s="7" t="n">
        <v>49.67</v>
      </c>
      <c r="P14" s="2" t="n">
        <v>27</v>
      </c>
      <c r="Q14" s="2" t="n"/>
    </row>
    <row r="15">
      <c r="A15" s="2" t="inlineStr">
        <is>
          <t>„Via Lietuvai“ nepavyko iš „MG grupės“ įmonių prisiteisti Tarandės tunelio statyboms</t>
        </is>
      </c>
      <c r="B15" s="2">
        <f>HYPERLINK("https://www.lrt.lt/naujienos/eismas/7/2848034/via-lietuvai-nepavyko-is-mg-grupes-imoniu-prisiteisti-tarandes-tunelio-statyboms")</f>
        <v/>
      </c>
      <c r="C15" s="2" t="inlineStr">
        <is>
          <t>Erika Alonderytė-Kazlauskė</t>
        </is>
      </c>
      <c r="D15" s="2" t="inlineStr">
        <is>
          <t>Lithuanian National Radio and Television (LRT)</t>
        </is>
      </c>
      <c r="E15" s="8" t="n">
        <v>46076.06428240741</v>
      </c>
      <c r="F15" s="2" t="inlineStr">
        <is>
          <t>|
00:00
 Numatytu laiku nebaigus statyti Tarandės tunelio šalia Vilniaus, magistralėje Vilnius–Panevėžys, valstybinių kelių valdytojai „Via Lietuva“ nepavyko prisiteisti 0,82 mln. eurų iš „MG grupės“ valdomos nekilnojamojo turto (NT) plėtros bendrovės „Darnu</t>
        </is>
      </c>
      <c r="G15" s="2" t="n">
        <v>1529307</v>
      </c>
      <c r="H15" s="2" t="n">
        <v>0</v>
      </c>
      <c r="I15" s="2" t="n">
        <v>0</v>
      </c>
      <c r="J15" s="2" t="n">
        <v>0</v>
      </c>
      <c r="K15" s="2" t="n"/>
      <c r="L15" s="2" t="inlineStr">
        <is>
          <t>Vilnius</t>
        </is>
      </c>
      <c r="M15" s="2" t="inlineStr">
        <is>
          <t>Vilniaus Apskritis</t>
        </is>
      </c>
      <c r="N15" s="2" t="inlineStr">
        <is>
          <t>Lithuania</t>
        </is>
      </c>
      <c r="O15" s="7" t="n">
        <v>14146.09</v>
      </c>
      <c r="P15" s="2" t="n">
        <v>68</v>
      </c>
      <c r="Q15" s="2" t="n"/>
    </row>
    <row r="16">
      <c r="A16" s="2" t="inlineStr">
        <is>
          <t>Viešbučių rinka 2025 m.: augimą lėmė renginių kalendorius</t>
        </is>
      </c>
      <c r="B16" s="2">
        <f>HYPERLINK("https://sc.bns.lt/view/item/viesbuciu-rinka-2025-m-augima-leme-renginiu-kalendorius-524147")</f>
        <v/>
      </c>
      <c r="C16" s="2" t="inlineStr"/>
      <c r="D16" s="2" t="inlineStr">
        <is>
          <t>Baltic News Service (Lithuania)</t>
        </is>
      </c>
      <c r="E16" s="8" t="n">
        <v>46071.2078125</v>
      </c>
      <c r="F16" s="2" t="inlineStr">
        <is>
          <t>Komentuoja Agnė Lingytė-Grybauskienė, „Darnu Group“ viešbučių įmonių grupės direktorė
Vidutinis viešbučių rinkos augimas, palyginti su 2024 m., pernai siekė apie 5 proc., o jų užimtumui ir pajamų augimui daugiausia įtakos turėjo tarptautiniai sporto renginiai.</t>
        </is>
      </c>
      <c r="G16" s="2" t="n">
        <v>32397</v>
      </c>
      <c r="H16" s="2" t="n"/>
      <c r="I16" s="2" t="n"/>
      <c r="J16" s="2" t="n"/>
      <c r="K16" s="2" t="n"/>
      <c r="L16" s="2" t="inlineStr">
        <is>
          <t>Vilnius</t>
        </is>
      </c>
      <c r="M16" s="2" t="inlineStr"/>
      <c r="N16" s="2" t="inlineStr">
        <is>
          <t>Lithuania</t>
        </is>
      </c>
      <c r="O16" s="7" t="n">
        <v>299.67</v>
      </c>
      <c r="P16" s="2" t="n">
        <v>55</v>
      </c>
      <c r="Q16" s="2" t="n"/>
    </row>
    <row r="17">
      <c r="A17" s="2" t="inlineStr">
        <is>
          <t>Hotel market in 2025: growth driven by the events calendar</t>
        </is>
      </c>
      <c r="B17" s="2">
        <f>HYPERLINK("https://www.lrytas.lt/english/business-tribune/2026/02/18/news/hotel-market-in-2025-growth-driven-by-the-events-calendar-41362001")</f>
        <v/>
      </c>
      <c r="C17" s="2" t="inlineStr"/>
      <c r="D17" s="2" t="inlineStr">
        <is>
          <t>lrytas.lt</t>
        </is>
      </c>
      <c r="E17" s="8" t="n">
        <v>46071.12540509259</v>
      </c>
      <c r="F17" s="2" t="inlineStr">
        <is>
          <t>It was also observed that events in other cities, due to limited accommodation supply, boosted occupancy in Vilnius hotels,“ says Agnė Lingytė-Grybauskienė, Director of the Darnu Group’s Hotel Operations.
Urbihop's occupancy rate in 2025 was 87%, similar to that in 2024.</t>
        </is>
      </c>
      <c r="G17" s="2" t="n">
        <v>1072624</v>
      </c>
      <c r="H17" s="2" t="n"/>
      <c r="I17" s="2" t="n"/>
      <c r="J17" s="2" t="n"/>
      <c r="K17" s="2" t="inlineStr">
        <is>
          <t>Positive</t>
        </is>
      </c>
      <c r="L17" s="2" t="inlineStr"/>
      <c r="M17" s="2" t="inlineStr"/>
      <c r="N17" s="2" t="inlineStr">
        <is>
          <t>Lithuania</t>
        </is>
      </c>
      <c r="O17" s="7" t="n">
        <v>9921.77</v>
      </c>
      <c r="P17" s="2" t="n">
        <v>70</v>
      </c>
      <c r="Q17" s="2" t="n"/>
    </row>
    <row r="18">
      <c r="A18" s="2" t="inlineStr">
        <is>
          <t>Viešbučių rinka 2025 m.: augimą lėmė renginių kalendorius</t>
        </is>
      </c>
      <c r="B18" s="2">
        <f>HYPERLINK("https://www.15min.lt/verslas/naujiena/finansai/viesbuciu-rinka-2025-m-augima-leme-renginiu-kalendorius-662-2623928")</f>
        <v/>
      </c>
      <c r="C18" s="2" t="inlineStr">
        <is>
          <t>Agnė Lingytė-Grybauskienė</t>
        </is>
      </c>
      <c r="D18" s="2" t="inlineStr">
        <is>
          <t>15min</t>
        </is>
      </c>
      <c r="E18" s="8" t="n">
        <v>46071.1133912037</v>
      </c>
      <c r="F18" s="2" t="inlineStr">
        <is>
          <t>Dėl šios priežasties praėjusių metų kontekstas buvo itin palankus „Darnu Group“ valdomam „Urbihop“ viešbučiui: SEB arenoje įsikūrusio bei į sporto turizmą smarkiai orientuoto viešbučio pajamos 2025-aisiais, palyginti su ankstesniais metais, gerokai lenkė rinkos vidurkį ir augo bemaž 14 proc.</t>
        </is>
      </c>
      <c r="G18" s="2" t="n">
        <v>1426746</v>
      </c>
      <c r="H18" s="2" t="n"/>
      <c r="I18" s="2" t="n"/>
      <c r="J18" s="2" t="n"/>
      <c r="K18" s="2" t="n"/>
      <c r="L18" s="2" t="inlineStr">
        <is>
          <t>Vilnius</t>
        </is>
      </c>
      <c r="M18" s="2" t="inlineStr">
        <is>
          <t>Vilniaus Apskritis</t>
        </is>
      </c>
      <c r="N18" s="2" t="inlineStr">
        <is>
          <t>Lithuania</t>
        </is>
      </c>
      <c r="O18" s="7" t="n">
        <v>13197.4</v>
      </c>
      <c r="P18" s="2" t="n">
        <v>73</v>
      </c>
      <c r="Q18" s="2" t="n"/>
    </row>
    <row r="19">
      <c r="A19" s="2" t="inlineStr">
        <is>
          <t>Statybunaujienos.lt - Gelžbetonio armavimo evoliucija: polipropileno fibra kaip sprendimas nuo rūsio sienų iki radioaktyvių atliekų saugyklų</t>
        </is>
      </c>
      <c r="B19" s="2">
        <f>HYPERLINK("https://www.statybunaujienos.lt/naujiena/Gelzbetonio-armavimo-evoliucija-polipropileno-fibra-kaip-sprendimas-nuo-rusio-sienu-iki-radioaktyviu-atlieku-saugyklu/26083")</f>
        <v/>
      </c>
      <c r="C19" s="2" t="inlineStr"/>
      <c r="D19" s="2" t="inlineStr">
        <is>
          <t>statybunaujienos.lt</t>
        </is>
      </c>
      <c r="E19" s="8" t="n">
        <v>46071.0506712963</v>
      </c>
      <c r="F19" s="2" t="inlineStr">
        <is>
          <t>gamybos grupių Baltijos šalyse AB „Akola group“ per valdomą bendrovę „Vilniaus paukštyną“ vertina galimybę Kaišiadoryse įgyvendinti šalutinių gyvūninių produktų perdirbimo infrastruktūros plėtros projektą, kurio vertė gali siekti iki 34 mln. eurų.
2026-01-26 10:13
Nekilnojamojo turto plėtros bendrovė „Darnu</t>
        </is>
      </c>
      <c r="G19" s="2" t="n">
        <v>5370</v>
      </c>
      <c r="H19" s="2" t="n">
        <v>0</v>
      </c>
      <c r="I19" s="2" t="n">
        <v>0</v>
      </c>
      <c r="J19" s="2" t="n">
        <v>0</v>
      </c>
      <c r="K19" s="2" t="n"/>
      <c r="L19" s="2" t="inlineStr"/>
      <c r="M19" s="2" t="inlineStr"/>
      <c r="N19" s="2" t="inlineStr">
        <is>
          <t>Lithuania</t>
        </is>
      </c>
      <c r="O19" s="7" t="n">
        <v>49.67</v>
      </c>
      <c r="P19" s="2" t="n">
        <v>27</v>
      </c>
      <c r="Q19" s="2" t="n"/>
    </row>
    <row r="20">
      <c r="A20" s="2" t="inlineStr">
        <is>
          <t>Viešbučių rinka 2025 m.: augimą lėmė renginių kalendorius</t>
        </is>
      </c>
      <c r="B20" s="2">
        <f>HYPERLINK("https://www.elta.lt/lt/pranesimai-spaudai/viesbuciu-rinka-2025-m-augima-leme-renginiu-kalendorius-261658")</f>
        <v/>
      </c>
      <c r="C20" s="2" t="inlineStr"/>
      <c r="D20" s="2" t="inlineStr">
        <is>
          <t>elta.lt</t>
        </is>
      </c>
      <c r="E20" s="8" t="n">
        <v>46071</v>
      </c>
      <c r="F20" s="2" t="inlineStr">
        <is>
          <t>Komentuoja Agnė Lingytė-Grybauskienė, „Darnu Group“ viešbučių įmonių grupės direktorė
Vidutinis viešbučių rinkos augimas, palyginti su 2024 m., pernai siekė apie 5 proc., o jų užimtumui ir pajamų augimui daugiausia įtakos turėjo tarptautiniai sporto renginiai.</t>
        </is>
      </c>
      <c r="G20" s="2" t="n">
        <v>9121</v>
      </c>
      <c r="H20" s="2" t="n"/>
      <c r="I20" s="2" t="n"/>
      <c r="J20" s="2" t="n"/>
      <c r="K20" s="2" t="n"/>
      <c r="L20" s="2" t="inlineStr"/>
      <c r="M20" s="2" t="inlineStr"/>
      <c r="N20" s="2" t="inlineStr">
        <is>
          <t>Lithuania</t>
        </is>
      </c>
      <c r="O20" s="7" t="n">
        <v>84.37</v>
      </c>
      <c r="P20" s="2" t="n">
        <v>44</v>
      </c>
      <c r="Q20" s="2" t="n"/>
    </row>
    <row r="21">
      <c r="A21" s="2" t="inlineStr">
        <is>
          <t>Agnė Lingytė-Grybauskienė. Viešbučių rinka 2025 m.: augimą lėmė renginių kalendorius</t>
        </is>
      </c>
      <c r="B21" s="2">
        <f>HYPERLINK("https://www.lrytas.lt/bustas/nekilnojamasis-turtas/2026/02/18/news/agne-lingyte-grybauskiene-viesbuciu-rinka-2025-m-augima-leme-renginiu-kalendorius-41362066")</f>
        <v/>
      </c>
      <c r="C21" s="2" t="inlineStr"/>
      <c r="D21" s="2" t="inlineStr">
        <is>
          <t>lrytas.lt</t>
        </is>
      </c>
      <c r="E21" s="8" t="n">
        <v>46071</v>
      </c>
      <c r="F21" s="2" t="inlineStr">
        <is>
          <t>Tuo metu kitas „Darnu Group“ valdomas bei praėjusiais metais į „Michelin“ gido rekomenduojamų viešbučių sąrašą įtrauktas „Artagonist“ savo rezultatais pernelyg nenutolo nuo rinkos vidurkio – jo užimtumas augo 2 proc. ir siekė 81 proc., o pajamos padidėjo 6 proc.</t>
        </is>
      </c>
      <c r="G21" s="2" t="n">
        <v>1072624</v>
      </c>
      <c r="H21" s="2" t="n"/>
      <c r="I21" s="2" t="n"/>
      <c r="J21" s="2" t="n"/>
      <c r="K21" s="2" t="n"/>
      <c r="L21" s="2" t="inlineStr"/>
      <c r="M21" s="2" t="inlineStr"/>
      <c r="N21" s="2" t="inlineStr">
        <is>
          <t>Lithuania</t>
        </is>
      </c>
      <c r="O21" s="7" t="n">
        <v>9921.77</v>
      </c>
      <c r="P21" s="2" t="n">
        <v>70</v>
      </c>
      <c r="Q21" s="2" t="n"/>
    </row>
    <row r="22">
      <c r="A22" s="2" t="inlineStr">
        <is>
          <t>Apeliacinis teismas: tarnyba tinkamai įvertino „Amberolos“ pasiūlymą Šiaulių kalėjimo konkurse</t>
        </is>
      </c>
      <c r="B22" s="2">
        <f>HYPERLINK("https://www.15min.lt/verslas/naujiena/finansai/apeliacinis-teismas-tarnyba-tinkamai-ivertino-amberolos-pasiulyma-siauliu-kalejimo-konkurse-662-2622942")</f>
        <v/>
      </c>
      <c r="C22" s="2" t="inlineStr">
        <is>
          <t>Algimantė Ambrulaitytė, Darnu Group</t>
        </is>
      </c>
      <c r="D22" s="2" t="inlineStr">
        <is>
          <t>15min</t>
        </is>
      </c>
      <c r="E22" s="8" t="n">
        <v>46070.02833333334</v>
      </c>
      <c r="F22" s="2" t="inlineStr">
        <is>
          <t>BNS rašė, jog Lietuvos apeliacinis teismas sausio 19 dieną netenkino ir kitos konkurse ketvirtoje vietoje likusios dalyvės nekilnojamojo turto (NT) plėtros grupės „Darnu Group“ antrinės įmonės „DG VPP vystymas“ skundo, kuriuo ji taip pat ginčijo Kalėjimo tarnybos sprendimą jai už energetinį efektyvumą</t>
        </is>
      </c>
      <c r="G22" s="2" t="n">
        <v>1426746</v>
      </c>
      <c r="H22" s="2" t="n"/>
      <c r="I22" s="2" t="n"/>
      <c r="J22" s="2" t="n"/>
      <c r="K22" s="2" t="n"/>
      <c r="L22" s="2" t="inlineStr">
        <is>
          <t>Vilnius</t>
        </is>
      </c>
      <c r="M22" s="2" t="inlineStr">
        <is>
          <t>Vilniaus Apskritis</t>
        </is>
      </c>
      <c r="N22" s="2" t="inlineStr">
        <is>
          <t>Lithuania</t>
        </is>
      </c>
      <c r="O22" s="7" t="n">
        <v>13197.4</v>
      </c>
      <c r="P22" s="2" t="n">
        <v>73</v>
      </c>
      <c r="Q22" s="2" t="n"/>
    </row>
    <row r="23">
      <c r="A23" s="2" t="inlineStr">
        <is>
          <t>Statybunaujienos.lt - MERKO Lietuvoje rezultatai: pasirengimas Rūdninkų karinio miestelio statybos konkursui ir sparčiai augę būsto pardavimai</t>
        </is>
      </c>
      <c r="B23" s="2">
        <f>HYPERLINK("https://www.statybunaujienos.lt/naujiena/MERKO-Lietuvoje-rezultatai-pasirengimas-Rudninku-karinio-miestelio-statybos-konkursui-ir-sparciai-auge-busto-pardavimai/26088")</f>
        <v/>
      </c>
      <c r="C23" s="2" t="inlineStr"/>
      <c r="D23" s="2" t="inlineStr">
        <is>
          <t>statybunaujienos.lt</t>
        </is>
      </c>
      <c r="E23" s="8" t="n">
        <v>46064.17425925926</v>
      </c>
      <c r="F23" s="2" t="inlineStr">
        <is>
          <t>gamybos grupių Baltijos šalyse AB „Akola group“ per valdomą bendrovę „Vilniaus paukštyną“ vertina galimybę Kaišiadoryse įgyvendinti šalutinių gyvūninių produktų perdirbimo infrastruktūros plėtros projektą, kurio vertė gali siekti iki 34 mln. eurų.
2026-01-26 10:13
Nekilnojamojo turto plėtros bendrovė „Darnu</t>
        </is>
      </c>
      <c r="G23" s="2" t="n">
        <v>5370</v>
      </c>
      <c r="H23" s="2" t="n">
        <v>0</v>
      </c>
      <c r="I23" s="2" t="n">
        <v>0</v>
      </c>
      <c r="J23" s="2" t="n">
        <v>0</v>
      </c>
      <c r="K23" s="2" t="n"/>
      <c r="L23" s="2" t="inlineStr"/>
      <c r="M23" s="2" t="inlineStr"/>
      <c r="N23" s="2" t="inlineStr">
        <is>
          <t>Lithuania</t>
        </is>
      </c>
      <c r="O23" s="7" t="n">
        <v>49.67</v>
      </c>
      <c r="P23" s="2" t="n">
        <v>27</v>
      </c>
      <c r="Q23" s="2" t="n"/>
    </row>
    <row r="24">
      <c r="A24" s="2" t="inlineStr">
        <is>
          <t>Statybunaujienos.lt - Mažo mastelio architektūra dideliame kontekste: „Bellini“ Žygimantų gatvėje</t>
        </is>
      </c>
      <c r="B24" s="2">
        <f>HYPERLINK("https://www.statybunaujienos.lt/naujiena/Mazo-mastelio-architektura-dideliame-kontekste-Bellini-Zygimantu-gatveje/26086")</f>
        <v/>
      </c>
      <c r="C24" s="2" t="inlineStr"/>
      <c r="D24" s="2" t="inlineStr">
        <is>
          <t>statybunaujienos.lt</t>
        </is>
      </c>
      <c r="E24" s="8" t="n">
        <v>46064.16005787037</v>
      </c>
      <c r="F24" s="2" t="inlineStr">
        <is>
          <t>Įmonei jau išduotas statybų leidimas numatytiems darbams.
2026-01-19 11:22
Nekilnojamojo turto plėtros bendrovė „Darnu Group“ pradeda butų pardavimus jau statomame antrajame „Sakų“ projekto kvartale „Miško vilos“, įsikūrusiose šalia miškingo Karoliniškių kraštovaizdžio draustinio.</t>
        </is>
      </c>
      <c r="G24" s="2" t="n">
        <v>5370</v>
      </c>
      <c r="H24" s="2" t="n">
        <v>0</v>
      </c>
      <c r="I24" s="2" t="n">
        <v>0</v>
      </c>
      <c r="J24" s="2" t="n">
        <v>0</v>
      </c>
      <c r="K24" s="2" t="n"/>
      <c r="L24" s="2" t="inlineStr"/>
      <c r="M24" s="2" t="inlineStr"/>
      <c r="N24" s="2" t="inlineStr">
        <is>
          <t>Lithuania</t>
        </is>
      </c>
      <c r="O24" s="7" t="n">
        <v>49.67</v>
      </c>
      <c r="P24" s="2" t="n">
        <v>27</v>
      </c>
      <c r="Q24" s="2" t="n"/>
    </row>
    <row r="25">
      <c r="A25" s="2" t="inlineStr">
        <is>
          <t>Statybunaujienos.lt - Ispanija kovoja su NT okupa mafija: naujasis įstatymas veikia greičiau nei policija</t>
        </is>
      </c>
      <c r="B25" s="2">
        <f>HYPERLINK("https://www.statybunaujienos.lt/naujiena/Ispanija-kovoja-su-NT-okupa-mafija-naujasis-istatymas-veikia-greiciau-nei-policija/26080")</f>
        <v/>
      </c>
      <c r="C25" s="2" t="inlineStr"/>
      <c r="D25" s="2" t="inlineStr">
        <is>
          <t>statybunaujienos.lt</t>
        </is>
      </c>
      <c r="E25" s="8" t="n">
        <v>46063.14167824074</v>
      </c>
      <c r="F25" s="2" t="inlineStr">
        <is>
          <t>Įmonei jau išduotas statybų leidimas numatytiems darbams.
2026-01-19 11:22
Nekilnojamojo turto plėtros bendrovė „Darnu Group“ pradeda butų pardavimus jau statomame antrajame „Sakų“ projekto kvartale „Miško vilos“, įsikūrusiose šalia miškingo Karoliniškių kraštovaizdžio draustinio.</t>
        </is>
      </c>
      <c r="G25" s="2" t="n">
        <v>5370</v>
      </c>
      <c r="H25" s="2" t="n">
        <v>0</v>
      </c>
      <c r="I25" s="2" t="n">
        <v>0</v>
      </c>
      <c r="J25" s="2" t="n">
        <v>0</v>
      </c>
      <c r="K25" s="2" t="n"/>
      <c r="L25" s="2" t="inlineStr"/>
      <c r="M25" s="2" t="inlineStr"/>
      <c r="N25" s="2" t="inlineStr">
        <is>
          <t>Lithuania</t>
        </is>
      </c>
      <c r="O25" s="7" t="n">
        <v>49.67</v>
      </c>
      <c r="P25" s="2" t="n">
        <v>27</v>
      </c>
      <c r="Q25" s="2" t="n"/>
    </row>
    <row r="26">
      <c r="A26" s="2" t="inlineStr">
        <is>
          <t>Statybunaujienos.lt - Pradeda mažaaukščio kvartalo „Niro“ statybą, rinkai pasiūlys 312 įvairaus ploto butų</t>
        </is>
      </c>
      <c r="B26" s="2">
        <f>HYPERLINK("https://www.statybunaujienos.lt/naujiena/Pradeda-mazaaukscio-kvartalo-Niro-statyba-rinkai-pasiulys-312-ivairaus-ploto-butu/26079")</f>
        <v/>
      </c>
      <c r="C26" s="2" t="inlineStr"/>
      <c r="D26" s="2" t="inlineStr">
        <is>
          <t>statybunaujienos.lt</t>
        </is>
      </c>
      <c r="E26" s="8" t="n">
        <v>46063.13638888889</v>
      </c>
      <c r="F26" s="2" t="inlineStr">
        <is>
          <t>Įmonei jau išduotas statybų leidimas numatytiems darbams.
2026-01-19 11:22
Nekilnojamojo turto plėtros bendrovė „Darnu Group“ pradeda butų pardavimus jau statomame antrajame „Sakų“ projekto kvartale „Miško vilos“, įsikūrusiose šalia miškingo Karoliniškių kraštovaizdžio draustinio.</t>
        </is>
      </c>
      <c r="G26" s="2" t="n">
        <v>5370</v>
      </c>
      <c r="H26" s="2" t="n">
        <v>0</v>
      </c>
      <c r="I26" s="2" t="n">
        <v>0</v>
      </c>
      <c r="J26" s="2" t="n">
        <v>0</v>
      </c>
      <c r="K26" s="2" t="n"/>
      <c r="L26" s="2" t="inlineStr"/>
      <c r="M26" s="2" t="inlineStr"/>
      <c r="N26" s="2" t="inlineStr">
        <is>
          <t>Lithuania</t>
        </is>
      </c>
      <c r="O26" s="7" t="n">
        <v>49.67</v>
      </c>
      <c r="P26" s="2" t="n">
        <v>27</v>
      </c>
      <c r="Q26" s="2" t="n"/>
    </row>
    <row r="27">
      <c r="A27" s="2" t="inlineStr">
        <is>
          <t>Statybunaujienos.lt - „Unipark“ valdys naują Kauno oro uosto parkavimo aikštelę: investicijos siekia 10 mln. eurų</t>
        </is>
      </c>
      <c r="B27" s="2">
        <f>HYPERLINK("https://www.statybunaujienos.lt/naujiena/Unipark-valdys-nauja-Kauno-oro-uosto-parkavimo-aikstele-investicijos-siekia-10-mln-euru/26072")</f>
        <v/>
      </c>
      <c r="C27" s="2" t="inlineStr"/>
      <c r="D27" s="2" t="inlineStr">
        <is>
          <t>statybunaujienos.lt</t>
        </is>
      </c>
      <c r="E27" s="8" t="n">
        <v>46062.215</v>
      </c>
      <c r="F27" s="2" t="inlineStr">
        <is>
          <t>gamybos grupių Baltijos šalyse AB „Akola group“ per valdomą bendrovę „Vilniaus paukštyną“ vertina galimybę Kaišiadoryse įgyvendinti šalutinių gyvūninių produktų perdirbimo infrastruktūros plėtros projektą, kurio vertė gali siekti iki 34 mln. eurų.
2026-01-26 10:13
Nekilnojamojo turto plėtros bendrovė „Darnu</t>
        </is>
      </c>
      <c r="G27" s="2" t="n">
        <v>5370</v>
      </c>
      <c r="H27" s="2" t="n"/>
      <c r="I27" s="2" t="n"/>
      <c r="J27" s="2" t="n"/>
      <c r="K27" s="2" t="n"/>
      <c r="L27" s="2" t="inlineStr"/>
      <c r="M27" s="2" t="inlineStr"/>
      <c r="N27" s="2" t="inlineStr">
        <is>
          <t>Lithuania</t>
        </is>
      </c>
      <c r="O27" s="7" t="n">
        <v>49.67</v>
      </c>
      <c r="P27" s="2" t="n">
        <v>27</v>
      </c>
      <c r="Q27" s="2" t="n"/>
    </row>
    <row r="28">
      <c r="A28" s="2" t="inlineStr">
        <is>
          <t>„Paupio turgus“ pernai pritraukė 1,4 mln. lankytojų ir planuoja 5 metų gimtadienio festivalį</t>
        </is>
      </c>
      <c r="B28" s="2">
        <f>HYPERLINK("https://madeinvilnius.lt/verslas/vilniaus-rinka/paupio-turgus-pernai-pritrauke-14-mln-lankytoju-ir-planuoja-5-metu-gimtadienio-festivali/")</f>
        <v/>
      </c>
      <c r="C28" s="2" t="inlineStr"/>
      <c r="D28" s="2" t="inlineStr">
        <is>
          <t>madeinvilnius.lt</t>
        </is>
      </c>
      <c r="E28" s="8" t="n">
        <v>46060</v>
      </c>
      <c r="F28" s="2" t="inlineStr">
        <is>
          <t>„2025-aisiais mūsų tikslas buvo išlaikyti veiklos stabilumą ir nuosekliai plėsti pasiūlą, prisitaikant prie to, kaip keičiasi rinka ir lankytojų įpročiai“, – komentuoja „Darnu Group“ restoranų veiklos ir plėtros vadovė Anželika Šiško.</t>
        </is>
      </c>
      <c r="G28" s="2" t="n">
        <v>349239</v>
      </c>
      <c r="H28" s="2" t="n"/>
      <c r="I28" s="2" t="n"/>
      <c r="J28" s="2" t="n"/>
      <c r="K28" s="2" t="n"/>
      <c r="L28" s="2" t="inlineStr"/>
      <c r="M28" s="2" t="inlineStr"/>
      <c r="N28" s="2" t="inlineStr">
        <is>
          <t>Lithuania</t>
        </is>
      </c>
      <c r="O28" s="7" t="n">
        <v>3230.46</v>
      </c>
      <c r="P28" s="2" t="n">
        <v>35</v>
      </c>
      <c r="Q28" s="2" t="n"/>
    </row>
    <row r="29">
      <c r="A29" s="2" t="inlineStr">
        <is>
          <t>Statybunaujienos.lt - „Piliamiestyje“ baigtas statyti namas, kurio butai išpirkti dar iki statybų pabaigos</t>
        </is>
      </c>
      <c r="B29" s="2">
        <f>HYPERLINK("https://www.statybunaujienos.lt/naujiena/Piliamiestyje-baigtas-statyti-namas-kurio-butai-ispirkti-dar-iki-statybu-pabaigos/26044")</f>
        <v/>
      </c>
      <c r="C29" s="2" t="inlineStr"/>
      <c r="D29" s="2" t="inlineStr">
        <is>
          <t>statybunaujienos.lt</t>
        </is>
      </c>
      <c r="E29" s="8" t="n">
        <v>46057.15525462963</v>
      </c>
      <c r="F29" s="2" t="inlineStr">
        <is>
          <t>Įmonei jau išduotas statybų leidimas numatytiems darbams.
2026-01-19 11:22
Nekilnojamojo turto plėtros bendrovė „Darnu Group“ pradeda butų pardavimus jau statomame antrajame „Sakų“ projekto kvartale „Miško vilos“, įsikūrusiose šalia miškingo Karoliniškių kraštovaizdžio draustinio.</t>
        </is>
      </c>
      <c r="G29" s="2" t="n">
        <v>5370</v>
      </c>
      <c r="H29" s="2" t="n"/>
      <c r="I29" s="2" t="n"/>
      <c r="J29" s="2" t="n"/>
      <c r="K29" s="2" t="n"/>
      <c r="L29" s="2" t="inlineStr"/>
      <c r="M29" s="2" t="inlineStr"/>
      <c r="N29" s="2" t="inlineStr">
        <is>
          <t>Lithuania</t>
        </is>
      </c>
      <c r="O29" s="7" t="n">
        <v>49.67</v>
      </c>
      <c r="P29" s="2" t="n">
        <v>27</v>
      </c>
      <c r="Q29" s="2" t="n"/>
    </row>
    <row r="30">
      <c r="A30" s="2" t="inlineStr">
        <is>
          <t>Statybunaujienos.lt - Staigus atšilimas gali išjudinti didelius ledo kiekius – mokslininkai ragina ruoštis didesniam nei įprasta pavasario potvyniui.</t>
        </is>
      </c>
      <c r="B30" s="2">
        <f>HYPERLINK("https://www.statybunaujienos.lt/naujiena/Staigus-atsilimas-gali-isjudinti-didelius-ledo-kiekius-mokslininkai-ragina-ruostis-didesniam-nei-iprasta-pavasario-potvyniui/26042")</f>
        <v/>
      </c>
      <c r="C30" s="2" t="inlineStr"/>
      <c r="D30" s="2" t="inlineStr">
        <is>
          <t>statybunaujienos.lt</t>
        </is>
      </c>
      <c r="E30" s="8" t="n">
        <v>46057.1109375</v>
      </c>
      <c r="F30" s="2" t="inlineStr">
        <is>
          <t>Ambicingą projektą dar vasarą pradėjo NT plėtros bendrovė „Darnu Group“ kartu su Lietuvos hidrobiologų draugija ir profesionalių narų komanda.</t>
        </is>
      </c>
      <c r="G30" s="2" t="n">
        <v>5370</v>
      </c>
      <c r="H30" s="2" t="n">
        <v>0</v>
      </c>
      <c r="I30" s="2" t="n">
        <v>0</v>
      </c>
      <c r="J30" s="2" t="n">
        <v>0</v>
      </c>
      <c r="K30" s="2" t="n"/>
      <c r="L30" s="2" t="inlineStr"/>
      <c r="M30" s="2" t="inlineStr"/>
      <c r="N30" s="2" t="inlineStr">
        <is>
          <t>Lithuania</t>
        </is>
      </c>
      <c r="O30" s="7" t="n">
        <v>49.67</v>
      </c>
      <c r="P30" s="2" t="n">
        <v>27</v>
      </c>
      <c r="Q30" s="2" t="n"/>
    </row>
    <row r="31">
      <c r="A31" s="2" t="inlineStr">
        <is>
          <t>Teismas turės iš naujo spręsti „Darnu Group“ įmonės ir Kalėjimų tarnybos ginčą dėl Šiaulių kalėjimo</t>
        </is>
      </c>
      <c r="B31" s="2">
        <f>HYPERLINK("https://www.15min.lt/verslas/naujiena/finansai/teismas-tures-is-naujo-spresti-darnu-group-imones-ir-kalejimu-tarnybos-ginca-del-siauliu-kalejimo-662-2614740")</f>
        <v/>
      </c>
      <c r="C31" s="2" t="inlineStr">
        <is>
          <t>Algimantė Ambrulaitytė</t>
        </is>
      </c>
      <c r="D31" s="2" t="inlineStr">
        <is>
          <t>15min</t>
        </is>
      </c>
      <c r="E31" s="8" t="n">
        <v>46057.05597222222</v>
      </c>
      <c r="F31" s="2" t="inlineStr">
        <is>
          <t>Lietuvos apeliacinis teismas vasario 3 dieną panaikino Šiaulių apygardos teismo 2025 metų kovo 31 dienos nutartį ir bylą jam perdavė nagrinėti iš naujo. Tai jau ne pirmas bendrovės ir tarnybos ginčas dėl šio konkurso, tik dėl skirtingų dalykų. Ketvirtoje vietoje konkurse likusi „DG VPP vystymas“ teismo prašo panaikinti tarnybos 2024 metais gruodį sudarytą konkurso pasiūlymų eilę, taip pat atmesti jį laimėjusios investicijų bendrovės „Nter“ fondo valdomos įmonės „Spi 1“ pasiūlymą.</t>
        </is>
      </c>
      <c r="G31" s="2" t="n">
        <v>1426746</v>
      </c>
      <c r="H31" s="2" t="n"/>
      <c r="I31" s="2" t="n"/>
      <c r="J31" s="2" t="n"/>
      <c r="K31" s="2" t="n"/>
      <c r="L31" s="2" t="inlineStr">
        <is>
          <t>Vilnius</t>
        </is>
      </c>
      <c r="M31" s="2" t="inlineStr">
        <is>
          <t>Vilniaus Apskritis</t>
        </is>
      </c>
      <c r="N31" s="2" t="inlineStr">
        <is>
          <t>Lithuania</t>
        </is>
      </c>
      <c r="O31" s="7" t="n">
        <v>13197.4</v>
      </c>
      <c r="P31" s="2" t="n">
        <v>73</v>
      </c>
      <c r="Q31" s="2" t="n"/>
    </row>
    <row r="32">
      <c r="A32" s="2" t="inlineStr">
        <is>
          <t>Statybunaujienos.lt - Kai spaudžia šaltis: atliekų tvarkymo iššūkiai ir gyventojų atsakomybė</t>
        </is>
      </c>
      <c r="B32" s="2">
        <f>HYPERLINK("https://www.statybunaujienos.lt/naujiena/Kai-spaudzia-saltis-atlieku-tvarkymo-issukiai-ir-gyventoju-atsakomybe/26033")</f>
        <v/>
      </c>
      <c r="C32" s="2" t="inlineStr"/>
      <c r="D32" s="2" t="inlineStr">
        <is>
          <t>statybunaujienos.lt</t>
        </is>
      </c>
      <c r="E32" s="8" t="n">
        <v>46056.1442824074</v>
      </c>
      <c r="F32" s="2" t="inlineStr">
        <is>
          <t>Ambicingą projektą dar vasarą pradėjo NT plėtros bendrovė „Darnu Group“ kartu su Lietuvos hidrobiologų draugija ir profesionalių narų komanda.</t>
        </is>
      </c>
      <c r="G32" s="2" t="n">
        <v>5370</v>
      </c>
      <c r="H32" s="2" t="n">
        <v>0</v>
      </c>
      <c r="I32" s="2" t="n">
        <v>0</v>
      </c>
      <c r="J32" s="2" t="n">
        <v>0</v>
      </c>
      <c r="K32" s="2" t="n"/>
      <c r="L32" s="2" t="inlineStr"/>
      <c r="M32" s="2" t="inlineStr"/>
      <c r="N32" s="2" t="inlineStr">
        <is>
          <t>Lithuania</t>
        </is>
      </c>
      <c r="O32" s="7" t="n">
        <v>49.67</v>
      </c>
      <c r="P32" s="2" t="n">
        <v>27</v>
      </c>
      <c r="Q32"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2026-03-02T08:09:46Z</dcterms:created>
  <dcterms:modified xmlns:dcterms="http://purl.org/dc/terms/" xmlns:xsi="http://www.w3.org/2001/XMLSchema-instance" xsi:type="dcterms:W3CDTF">2026-03-02T08:09:46Z</dcterms:modified>
</cp:coreProperties>
</file>