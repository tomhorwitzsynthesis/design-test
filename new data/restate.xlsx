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_-"/>
    <numFmt numFmtId="166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6">
    <xf numFmtId="0" fontId="0" fillId="0" borderId="0"/>
    <xf numFmtId="0" fontId="1" fillId="0" borderId="1"/>
    <xf numFmtId="0" fontId="2" fillId="0" borderId="1" applyAlignment="1">
      <alignment vertical="top" wrapText="1"/>
    </xf>
    <xf numFmtId="164" fontId="2" fillId="0" borderId="1" applyAlignment="1">
      <alignment vertical="top" wrapText="1"/>
    </xf>
    <xf numFmtId="165" fontId="2" fillId="0" borderId="1" applyAlignment="1">
      <alignment vertical="top" wrapText="1"/>
    </xf>
    <xf numFmtId="166" fontId="2" fillId="0" borderId="1" applyAlignment="1">
      <alignment vertical="top" wrapText="1"/>
    </xf>
  </cellStyleXfs>
  <cellXfs count="9">
    <xf numFmtId="0" fontId="0" fillId="0" borderId="0" pivotButton="0" quotePrefix="0" xfId="0"/>
    <xf numFmtId="0" fontId="1" fillId="0" borderId="1" pivotButton="0" quotePrefix="0" xfId="1"/>
    <xf numFmtId="0" fontId="2" fillId="0" borderId="1" applyAlignment="1" pivotButton="0" quotePrefix="0" xfId="2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  <xf numFmtId="164" fontId="2" fillId="0" borderId="1" applyAlignment="1" pivotButton="0" quotePrefix="0" xfId="3">
      <alignment vertical="top" wrapText="1"/>
    </xf>
    <xf numFmtId="165" fontId="2" fillId="0" borderId="1" applyAlignment="1" pivotButton="0" quotePrefix="0" xfId="4">
      <alignment vertical="top" wrapText="1"/>
    </xf>
    <xf numFmtId="166" fontId="2" fillId="0" borderId="1" applyAlignment="1" pivotButton="0" quotePrefix="0" xfId="5">
      <alignment vertical="top" wrapText="1"/>
    </xf>
  </cellXfs>
  <cellStyles count="6">
    <cellStyle name="Normal" xfId="0" builtinId="0" hidden="0"/>
    <cellStyle name="mr_header" xfId="1" hidden="0"/>
    <cellStyle name="mr_normal" xfId="2" hidden="0"/>
    <cellStyle name="mr_date" xfId="3" hidden="0"/>
    <cellStyle name="mr_currency" xfId="4" hidden="0"/>
    <cellStyle name="mr_datetim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1" t="inlineStr">
        <is>
          <t>Report</t>
        </is>
      </c>
      <c r="B1" s="2" t="inlineStr">
        <is>
          <t>Restate</t>
        </is>
      </c>
    </row>
    <row r="2">
      <c r="A2" s="1" t="inlineStr">
        <is>
          <t>URL</t>
        </is>
      </c>
      <c r="B2" s="2">
        <f>HYPERLINK("https://particle-agency.muckrack.com/coverage-reports/gMXT/edit/")</f>
        <v/>
      </c>
    </row>
    <row r="3">
      <c r="A3" s="1" t="inlineStr">
        <is>
          <t>Exported On</t>
        </is>
      </c>
      <c r="B3" s="6" t="n">
        <v>46083</v>
      </c>
    </row>
    <row r="4">
      <c r="A4" s="1" t="inlineStr">
        <is>
          <t>Generated By</t>
        </is>
      </c>
      <c r="B4" s="2" t="inlineStr">
        <is>
          <t>Ieva Mackeviciute</t>
        </is>
      </c>
    </row>
    <row r="6">
      <c r="A6" s="1" t="inlineStr">
        <is>
          <t>Links</t>
        </is>
      </c>
      <c r="B6" s="2" t="n">
        <v>5</v>
      </c>
    </row>
    <row r="7">
      <c r="A7" s="1" t="inlineStr">
        <is>
          <t>Total Engagement</t>
        </is>
      </c>
      <c r="B7" s="2" t="n">
        <v>0</v>
      </c>
    </row>
    <row r="8">
      <c r="A8" s="1" t="inlineStr">
        <is>
          <t>Average Engagement</t>
        </is>
      </c>
      <c r="B8" s="2" t="n">
        <v>0</v>
      </c>
    </row>
    <row r="9">
      <c r="A9" s="1" t="inlineStr">
        <is>
          <t>Total UVM (Insights by Similarweb)</t>
        </is>
      </c>
      <c r="B9" s="2" t="n">
        <v>20784</v>
      </c>
    </row>
    <row r="10">
      <c r="A10" s="1" t="inlineStr">
        <is>
          <t>Total AVE</t>
        </is>
      </c>
      <c r="B10" s="7" t="n">
        <v>192.25</v>
      </c>
    </row>
    <row r="11">
      <c r="A11" s="1" t="inlineStr">
        <is>
          <t>Total Journalist Shares</t>
        </is>
      </c>
      <c r="B11" s="2" t="n">
        <v>0</v>
      </c>
    </row>
    <row r="12">
      <c r="A12" s="1" t="inlineStr">
        <is>
          <t>Total Journalist Reach</t>
        </is>
      </c>
      <c r="B1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4" customWidth="1" min="3" max="3"/>
    <col width="24" customWidth="1" min="4" max="4"/>
    <col width="19" customWidth="1" min="5" max="5"/>
    <col width="48" customWidth="1" min="6" max="6"/>
    <col width="28" customWidth="1" min="7" max="7"/>
    <col width="17" customWidth="1" min="8" max="8"/>
    <col width="16" customWidth="1" min="9" max="9"/>
    <col width="16" customWidth="1" min="10" max="10"/>
    <col width="13" customWidth="1" min="11" max="11"/>
    <col width="17" customWidth="1" min="12" max="12"/>
    <col width="19" customWidth="1" min="13" max="13"/>
    <col width="24" customWidth="1" min="14" max="14"/>
    <col width="29" customWidth="1" min="15" max="15"/>
    <col width="34" customWidth="1" min="16" max="16"/>
    <col width="24" customWidth="1" min="17" max="17"/>
  </cols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</row>
    <row r="2">
      <c r="A2" s="2" t="inlineStr">
        <is>
          <t>Restate nihutab fookuse üürilt omandile</t>
        </is>
      </c>
      <c r="B2" s="2">
        <f>HYPERLINK("https://www.kinnisvarauudised.ee/uudised/2026/02/16/restate-nihutab-fookuse-uurilt-omandile")</f>
        <v/>
      </c>
      <c r="C2" s="2" t="inlineStr"/>
      <c r="D2" s="2" t="inlineStr">
        <is>
          <t>Kinnisvarauudised.ee</t>
        </is>
      </c>
      <c r="E2" s="8" t="n">
        <v>46069</v>
      </c>
      <c r="F2" s="2" t="inlineStr">
        <is>
          <t>Restate panustab omandipõhisele ärikinnisvarale: esimese müügimaja ehitus algab peagi ja esimesed müügitehingud on tehtud.
Restate´i tegevjuht Risto Abel.</t>
        </is>
      </c>
      <c r="G2" s="2" t="n">
        <v>3772</v>
      </c>
      <c r="H2" s="2" t="n"/>
      <c r="I2" s="2" t="n"/>
      <c r="J2" s="2" t="n"/>
      <c r="K2" s="2" t="n"/>
      <c r="L2" s="2" t="inlineStr"/>
      <c r="M2" s="2" t="inlineStr"/>
      <c r="N2" s="2" t="inlineStr">
        <is>
          <t>Estonia</t>
        </is>
      </c>
      <c r="O2" s="7" t="n">
        <v>34.89</v>
      </c>
      <c r="P2" s="2" t="n">
        <v>35</v>
      </c>
      <c r="Q2" s="2" t="n"/>
    </row>
    <row r="3">
      <c r="A3" s="2" t="inlineStr">
        <is>
          <t>Restate asutajad: usaldus tekib siis, kui klient ei tunne müügisurvet</t>
        </is>
      </c>
      <c r="B3" s="2">
        <f>HYPERLINK("https://www.kaubandus.ee/uudised/2026/02/05/restate-asutajad-usaldus-tekib-siis-kui-klient-ei-tunne-muugisurvet")</f>
        <v/>
      </c>
      <c r="C3" s="2" t="inlineStr"/>
      <c r="D3" s="2" t="inlineStr">
        <is>
          <t>kaubandus.ee</t>
        </is>
      </c>
      <c r="E3" s="8" t="n">
        <v>46058</v>
      </c>
      <c r="F3" s="2" t="inlineStr">
        <is>
          <t>Kliendi usaldus tekib alles siis, kui ta mõistab, et temaga ei üritata lihtsalt tehingut teha, vaid päriselt tema vajadusest aru saada, ütlevad Restate juhid Risto Abel ja Tomas Salamäe.</t>
        </is>
      </c>
      <c r="G3" s="2" t="n">
        <v>5696</v>
      </c>
      <c r="H3" s="2" t="n"/>
      <c r="I3" s="2" t="n"/>
      <c r="J3" s="2" t="n"/>
      <c r="K3" s="2" t="n"/>
      <c r="L3" s="2" t="inlineStr">
        <is>
          <t>Tallinn</t>
        </is>
      </c>
      <c r="M3" s="2" t="inlineStr">
        <is>
          <t>Harju County</t>
        </is>
      </c>
      <c r="N3" s="2" t="inlineStr">
        <is>
          <t>Estonia</t>
        </is>
      </c>
      <c r="O3" s="7" t="n">
        <v>52.69</v>
      </c>
      <c r="P3" s="2" t="n">
        <v>34</v>
      </c>
      <c r="Q3" s="2" t="n"/>
    </row>
    <row r="4">
      <c r="A4" s="2" t="inlineStr">
        <is>
          <t>Detail 3 kuuga! Restate´i suurarendus sai rohelise tule rekordajaga</t>
        </is>
      </c>
      <c r="B4" s="2">
        <f>HYPERLINK("https://www.kinnisvarauudised.ee/uudised/2026/02/04/detail-3-kuuga-restatei-suurarendus-sai-rohelise-tule-rekordajaga")</f>
        <v/>
      </c>
      <c r="C4" s="2" t="inlineStr"/>
      <c r="D4" s="2" t="inlineStr">
        <is>
          <t>Kinnisvarauudised.ee</t>
        </is>
      </c>
      <c r="E4" s="8" t="n">
        <v>46057</v>
      </c>
      <c r="F4" s="2" t="inlineStr">
        <is>
          <t>See Restate´i arenduse planeering põhineb KOKO arhitektide võidutööl.
Foto: Visuaal: KOKO arhitektid
Realiseeruma hakkab perspektiiv, millest riigiarhitekt Tõnis Arjus ja Tallinna arhitekt Andro Mänd rääkisid 4 kuu eest.</t>
        </is>
      </c>
      <c r="G4" s="2" t="n">
        <v>3772</v>
      </c>
      <c r="H4" s="2" t="n"/>
      <c r="I4" s="2" t="n"/>
      <c r="J4" s="2" t="n"/>
      <c r="K4" s="2" t="n"/>
      <c r="L4" s="2" t="inlineStr"/>
      <c r="M4" s="2" t="inlineStr"/>
      <c r="N4" s="2" t="inlineStr">
        <is>
          <t>Estonia</t>
        </is>
      </c>
      <c r="O4" s="7" t="n">
        <v>34.89</v>
      </c>
      <c r="P4" s="2" t="n">
        <v>35</v>
      </c>
      <c r="Q4" s="2" t="n"/>
    </row>
    <row r="5">
      <c r="A5" s="2" t="inlineStr">
        <is>
          <t>Detaili algatus 3 kuuga! Restate´i suurarendus sai protsessi rekordajaga</t>
        </is>
      </c>
      <c r="B5" s="2">
        <f>HYPERLINK("https://www.kinnisvarauudised.ee/uudised/2026/02/04/detaili-algatus-3-kuuga-restatei-suurarendus-sai-protsessi-rekordajaga")</f>
        <v/>
      </c>
      <c r="C5" s="2" t="inlineStr"/>
      <c r="D5" s="2" t="inlineStr">
        <is>
          <t>Kinnisvarauudised.ee</t>
        </is>
      </c>
      <c r="E5" s="8" t="n">
        <v>46057</v>
      </c>
      <c r="F5" s="2" t="inlineStr">
        <is>
          <t>See Restate´i arenduse planeering põhineb KOKO arhitektide võidutööl.
Foto: Visuaal: KOKO arhitektid
Realiseeruma hakkab perspektiiv, millest riigiarhitekt Tõnis Arjus ja Tallinna arhitekt Andro Mänd rääkisid 4 kuu eest.</t>
        </is>
      </c>
      <c r="G5" s="2" t="n">
        <v>3772</v>
      </c>
      <c r="H5" s="2" t="n"/>
      <c r="I5" s="2" t="n"/>
      <c r="J5" s="2" t="n"/>
      <c r="K5" s="2" t="n"/>
      <c r="L5" s="2" t="inlineStr"/>
      <c r="M5" s="2" t="inlineStr"/>
      <c r="N5" s="2" t="inlineStr">
        <is>
          <t>Estonia</t>
        </is>
      </c>
      <c r="O5" s="7" t="n">
        <v>34.89</v>
      </c>
      <c r="P5" s="2" t="n">
        <v>35</v>
      </c>
      <c r="Q5" s="2" t="n"/>
    </row>
    <row r="6">
      <c r="A6" s="2" t="inlineStr">
        <is>
          <t>Ärikinnisvara väärtuse hindamine vajab suuremat selgust</t>
        </is>
      </c>
      <c r="B6" s="2">
        <f>HYPERLINK("https://www.kinnisvarauudised.ee/uudised/2026/02/03/arikinnisvara-vaartuse-hindamine-vajab-suuremat-selgust")</f>
        <v/>
      </c>
      <c r="C6" s="2" t="inlineStr"/>
      <c r="D6" s="2" t="inlineStr">
        <is>
          <t>Kinnisvarauudised.ee</t>
        </is>
      </c>
      <c r="E6" s="8" t="n">
        <v>46056</v>
      </c>
      <c r="F6" s="2" t="inlineStr">
        <is>
          <t>Harjumaa kinnisvaraturg on kokkuvõtvalt veel ostja ja üürija kasuks, kirjutab Restate analüütik Julia Linde suures kinnisvaraturu ülevaates.
ST
29.12.25, 13:07
2026. aasta maist enam kui tuhandele objektile päästeauto enam automaatselt kohale ei sõida.</t>
        </is>
      </c>
      <c r="G6" s="2" t="n">
        <v>3772</v>
      </c>
      <c r="H6" s="2" t="n"/>
      <c r="I6" s="2" t="n"/>
      <c r="J6" s="2" t="n"/>
      <c r="K6" s="2" t="n"/>
      <c r="L6" s="2" t="inlineStr"/>
      <c r="M6" s="2" t="inlineStr"/>
      <c r="N6" s="2" t="inlineStr">
        <is>
          <t>Estonia</t>
        </is>
      </c>
      <c r="O6" s="7" t="n">
        <v>34.89</v>
      </c>
      <c r="P6" s="2" t="n">
        <v>35</v>
      </c>
      <c r="Q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2026-03-02T08:08:22Z</dcterms:created>
  <dcterms:modified xmlns:dcterms="http://purl.org/dc/terms/" xmlns:xsi="http://www.w3.org/2001/XMLSchema-instance" xsi:type="dcterms:W3CDTF">2026-03-02T08:08:23Z</dcterms:modified>
</cp:coreProperties>
</file>