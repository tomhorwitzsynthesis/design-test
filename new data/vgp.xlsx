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ummary" sheetId="1" state="visible" r:id="rId1"/>
    <sheet xmlns:r="http://schemas.openxmlformats.org/officeDocument/2006/relationships" name="Articles" sheetId="2" state="visible" r:id="rId2"/>
  </sheets>
  <definedNames/>
  <calcPr calcId="124519" fullCalcOnLoad="1"/>
</workbook>
</file>

<file path=xl/styles.xml><?xml version="1.0" encoding="utf-8"?>
<styleSheet xmlns="http://schemas.openxmlformats.org/spreadsheetml/2006/main">
  <numFmts count="3">
    <numFmt numFmtId="164" formatCode="YYYY-mm-dd"/>
    <numFmt numFmtId="165" formatCode="&quot;$&quot;#,##0.00_-"/>
    <numFmt numFmtId="166" formatCode="YYYY-mm-dd HH:MM:SS"/>
  </numFmts>
  <fonts count="3">
    <font>
      <name val="Calibri"/>
      <family val="2"/>
      <color theme="1"/>
      <sz val="11"/>
      <scheme val="minor"/>
    </font>
    <font>
      <name val="Arial"/>
      <b val="1"/>
      <sz val="10"/>
    </font>
    <font>
      <name val="Arial"/>
      <sz val="10"/>
    </font>
  </fonts>
  <fills count="2">
    <fill>
      <patternFill/>
    </fill>
    <fill>
      <patternFill patternType="gray125"/>
    </fill>
  </fills>
  <borders count="2">
    <border>
      <left/>
      <right/>
      <top/>
      <bottom/>
      <diagonal/>
    </border>
    <border/>
  </borders>
  <cellStyleXfs count="6">
    <xf numFmtId="0" fontId="0" fillId="0" borderId="0"/>
    <xf numFmtId="0" fontId="1" fillId="0" borderId="1"/>
    <xf numFmtId="0" fontId="2" fillId="0" borderId="1" applyAlignment="1">
      <alignment vertical="top" wrapText="1"/>
    </xf>
    <xf numFmtId="164" fontId="2" fillId="0" borderId="1" applyAlignment="1">
      <alignment vertical="top" wrapText="1"/>
    </xf>
    <xf numFmtId="165" fontId="2" fillId="0" borderId="1" applyAlignment="1">
      <alignment vertical="top" wrapText="1"/>
    </xf>
    <xf numFmtId="166" fontId="2" fillId="0" borderId="1" applyAlignment="1">
      <alignment vertical="top" wrapText="1"/>
    </xf>
  </cellStyleXfs>
  <cellXfs count="9">
    <xf numFmtId="0" fontId="0" fillId="0" borderId="0" pivotButton="0" quotePrefix="0" xfId="0"/>
    <xf numFmtId="0" fontId="1" fillId="0" borderId="1" pivotButton="0" quotePrefix="0" xfId="1"/>
    <xf numFmtId="0" fontId="2" fillId="0" borderId="1" applyAlignment="1" pivotButton="0" quotePrefix="0" xfId="2">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cellXfs>
  <cellStyles count="6">
    <cellStyle name="Normal" xfId="0" builtinId="0" hidden="0"/>
    <cellStyle name="mr_header" xfId="1" hidden="0"/>
    <cellStyle name="mr_normal" xfId="2" hidden="0"/>
    <cellStyle name="mr_date" xfId="3" hidden="0"/>
    <cellStyle name="mr_currency" xfId="4" hidden="0"/>
    <cellStyle name="mr_datetim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32" customWidth="1" min="2" max="2"/>
  </cols>
  <sheetData>
    <row r="1">
      <c r="A1" s="1" t="inlineStr">
        <is>
          <t>Report</t>
        </is>
      </c>
      <c r="B1" s="2" t="inlineStr">
        <is>
          <t>VGP</t>
        </is>
      </c>
    </row>
    <row r="2">
      <c r="A2" s="1" t="inlineStr">
        <is>
          <t>URL</t>
        </is>
      </c>
      <c r="B2" s="2">
        <f>HYPERLINK("https://particle-agency.muckrack.com/coverage-reports/gMXr/edit/")</f>
        <v/>
      </c>
    </row>
    <row r="3">
      <c r="A3" s="1" t="inlineStr">
        <is>
          <t>Exported On</t>
        </is>
      </c>
      <c r="B3" s="6" t="n">
        <v>46083</v>
      </c>
    </row>
    <row r="4">
      <c r="A4" s="1" t="inlineStr">
        <is>
          <t>Generated By</t>
        </is>
      </c>
      <c r="B4" s="2" t="inlineStr">
        <is>
          <t>Ieva Mackeviciute</t>
        </is>
      </c>
    </row>
    <row r="6">
      <c r="A6" s="1" t="inlineStr">
        <is>
          <t>Links</t>
        </is>
      </c>
      <c r="B6" s="2" t="n">
        <v>2</v>
      </c>
    </row>
    <row r="7">
      <c r="A7" s="1" t="inlineStr">
        <is>
          <t>Total Engagement</t>
        </is>
      </c>
      <c r="B7" s="2" t="n">
        <v>0</v>
      </c>
    </row>
    <row r="8">
      <c r="A8" s="1" t="inlineStr">
        <is>
          <t>Average Engagement</t>
        </is>
      </c>
      <c r="B8" s="2" t="n">
        <v>0</v>
      </c>
    </row>
    <row r="9">
      <c r="A9" s="1" t="inlineStr">
        <is>
          <t>Total UVM (Insights by Similarweb)</t>
        </is>
      </c>
      <c r="B9" s="2" t="n">
        <v>953046</v>
      </c>
    </row>
    <row r="10">
      <c r="A10" s="1" t="inlineStr">
        <is>
          <t>Total AVE</t>
        </is>
      </c>
      <c r="B10" s="7" t="n">
        <v>8815.68</v>
      </c>
    </row>
    <row r="11">
      <c r="A11" s="1" t="inlineStr">
        <is>
          <t>Total Journalist Shares</t>
        </is>
      </c>
      <c r="B11" s="2" t="n">
        <v>0</v>
      </c>
    </row>
    <row r="12">
      <c r="A12" s="1" t="inlineStr">
        <is>
          <t>Total Journalist Reach</t>
        </is>
      </c>
      <c r="B1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cols>
    <col width="48" customWidth="1" min="1" max="1"/>
    <col width="32" customWidth="1" min="2" max="2"/>
    <col width="24" customWidth="1" min="3" max="3"/>
    <col width="24" customWidth="1" min="4" max="4"/>
    <col width="19" customWidth="1" min="5" max="5"/>
    <col width="48" customWidth="1" min="6" max="6"/>
    <col width="28" customWidth="1" min="7" max="7"/>
    <col width="17" customWidth="1" min="8" max="8"/>
    <col width="16" customWidth="1" min="9" max="9"/>
    <col width="16" customWidth="1" min="10" max="10"/>
    <col width="13" customWidth="1" min="11" max="11"/>
    <col width="17" customWidth="1" min="12" max="12"/>
    <col width="19" customWidth="1" min="13" max="13"/>
    <col width="24" customWidth="1" min="14" max="14"/>
    <col width="29" customWidth="1" min="15" max="15"/>
    <col width="34" customWidth="1" min="16" max="16"/>
    <col width="24" customWidth="1" min="17" max="17"/>
  </cols>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row>
    <row r="2">
      <c r="A2" s="2" t="inlineStr">
        <is>
          <t>Plānots noslēgt projektēšanu industriālajam parkam VGP Park Riga Airport</t>
        </is>
      </c>
      <c r="B2" s="2">
        <f>HYPERLINK("https://www.db.lv/zinas/planots-noslegt-projektesanu-industrialajam-parkam-vgp-park-riga-airport-525338")</f>
        <v/>
      </c>
      <c r="C2" s="2" t="inlineStr"/>
      <c r="D2" s="2" t="inlineStr">
        <is>
          <t>Dienas Bizness</t>
        </is>
      </c>
      <c r="E2" s="8" t="n">
        <v>46078</v>
      </c>
      <c r="F2" s="2" t="inlineStr">
        <is>
          <t>Topošajā industriālā parkā “VGP Park Riga Airport”, kura projektēšana šobrīd ir noslēguma stadijā, plānotas trīs modernas noliktavu ēkas ar kopējo platību vairāk nekā 24 900 m², kā arī tehniskās un atbalsta būves. Kopējā apbūves platība ir aptuveni 25 000 m².</t>
        </is>
      </c>
      <c r="G2" s="2" t="n">
        <v>81988</v>
      </c>
      <c r="H2" s="2" t="n"/>
      <c r="I2" s="2" t="n"/>
      <c r="J2" s="2" t="n"/>
      <c r="K2" s="2" t="n"/>
      <c r="L2" s="2" t="inlineStr"/>
      <c r="M2" s="2" t="inlineStr">
        <is>
          <t>Rīga</t>
        </is>
      </c>
      <c r="N2" s="2" t="inlineStr">
        <is>
          <t>Latvia</t>
        </is>
      </c>
      <c r="O2" s="7" t="n">
        <v>758.39</v>
      </c>
      <c r="P2" s="2" t="n">
        <v>60</v>
      </c>
      <c r="Q2" s="2" t="n"/>
    </row>
    <row r="3">
      <c r="A3" s="2" t="inlineStr">
        <is>
          <t>Konkurences uzraugs ļauj "Satiksme Loģistika" iegādāties nekustamo īpašumu pārvaldnieku "VGP Park Tiraines"</t>
        </is>
      </c>
      <c r="B3" s="2">
        <f>HYPERLINK("https://www.lsm.lv/raksts/zinas/ekonomika/04.02.2026-konkurences-uzraugs-lauj-satiksme-logistika-iegadaties-nekustamo-ipasumu-parvaldnieku-vgp-park-tiraines.a633072/")</f>
        <v/>
      </c>
      <c r="C3" s="2" t="inlineStr"/>
      <c r="D3" s="2" t="inlineStr">
        <is>
          <t>LSM</t>
        </is>
      </c>
      <c r="E3" s="8" t="n">
        <v>46057.31038194444</v>
      </c>
      <c r="F3" s="2" t="inlineStr">
        <is>
          <t>"VGP Park Tiraines" darbība saistīta ar sava vai nomāta nekustamā īpašuma izīrēšanu un pārvaldīšanu, un tā ietilpst VGP grupā, kura ir loģistikas un rūpniecisko īpašumu īpašniece, pārvaldniece un attīstītāja visā Eiropā.</t>
        </is>
      </c>
      <c r="G3" s="2" t="n">
        <v>871058</v>
      </c>
      <c r="H3" s="2" t="n">
        <v>0</v>
      </c>
      <c r="I3" s="2" t="n">
        <v>0</v>
      </c>
      <c r="J3" s="2" t="n">
        <v>0</v>
      </c>
      <c r="K3" s="2" t="n"/>
      <c r="L3" s="2" t="inlineStr">
        <is>
          <t>Riga</t>
        </is>
      </c>
      <c r="M3" s="2" t="inlineStr">
        <is>
          <t>Rīga</t>
        </is>
      </c>
      <c r="N3" s="2" t="inlineStr">
        <is>
          <t>Latvia</t>
        </is>
      </c>
      <c r="O3" s="7" t="n">
        <v>8057.29</v>
      </c>
      <c r="P3" s="2" t="n">
        <v>82</v>
      </c>
      <c r="Q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2026-03-02T08:07:14Z</dcterms:created>
  <dcterms:modified xmlns:dcterms="http://purl.org/dc/terms/" xmlns:xsi="http://www.w3.org/2001/XMLSchema-instance" xsi:type="dcterms:W3CDTF">2026-03-02T08:07:14Z</dcterms:modified>
</cp:coreProperties>
</file>