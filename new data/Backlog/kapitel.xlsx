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/>
    <xf numFmtId="0" fontId="2" fillId="0" borderId="1" applyAlignment="1">
      <alignment vertical="top" wrapText="1"/>
    </xf>
    <xf numFmtId="164" fontId="2" fillId="0" borderId="1" applyAlignment="1">
      <alignment vertical="top" wrapText="1"/>
    </xf>
    <xf numFmtId="165" fontId="2" fillId="0" borderId="1" applyAlignment="1">
      <alignment vertical="top" wrapText="1"/>
    </xf>
    <xf numFmtId="166" fontId="2" fillId="0" borderId="1" applyAlignment="1">
      <alignment vertical="top" wrapText="1"/>
    </xf>
  </cellStyleXfs>
  <cellXfs count="9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2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</cellXfs>
  <cellStyles count="6">
    <cellStyle name="Normal" xfId="0" builtinId="0" hidden="0"/>
    <cellStyle name="mr_header" xfId="1" hidden="0"/>
    <cellStyle name="mr_normal" xfId="2" hidden="0"/>
    <cellStyle name="mr_date" xfId="3" hidden="0"/>
    <cellStyle name="mr_currency" xfId="4" hidden="0"/>
    <cellStyle name="mr_datetim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Report</t>
        </is>
      </c>
      <c r="B1" s="2" t="inlineStr">
        <is>
          <t>Kapitel</t>
        </is>
      </c>
    </row>
    <row r="2">
      <c r="A2" s="1" t="inlineStr">
        <is>
          <t>URL</t>
        </is>
      </c>
      <c r="B2" s="2">
        <f>HYPERLINK("https://particle-agency.muckrack.com/coverage-reports/gnZE/edit/")</f>
        <v/>
      </c>
    </row>
    <row r="3">
      <c r="A3" s="1" t="inlineStr">
        <is>
          <t>Exported On</t>
        </is>
      </c>
      <c r="B3" s="6" t="n">
        <v>46071</v>
      </c>
    </row>
    <row r="4">
      <c r="A4" s="1" t="inlineStr">
        <is>
          <t>Generated By</t>
        </is>
      </c>
      <c r="B4" s="2" t="inlineStr">
        <is>
          <t>Ieva Mackeviciute</t>
        </is>
      </c>
    </row>
    <row r="6">
      <c r="A6" s="1" t="inlineStr">
        <is>
          <t>Links</t>
        </is>
      </c>
      <c r="B6" s="2" t="n">
        <v>2</v>
      </c>
    </row>
    <row r="7">
      <c r="A7" s="1" t="inlineStr">
        <is>
          <t>Total Engagement</t>
        </is>
      </c>
      <c r="B7" s="2" t="n">
        <v>9</v>
      </c>
    </row>
    <row r="8">
      <c r="A8" s="1" t="inlineStr">
        <is>
          <t>Average Engagement</t>
        </is>
      </c>
      <c r="B8" s="2" t="n">
        <v>4</v>
      </c>
    </row>
    <row r="9">
      <c r="A9" s="1" t="inlineStr">
        <is>
          <t>Total UVM (Insights by Similarweb)</t>
        </is>
      </c>
      <c r="B9" s="2" t="n">
        <v>251517</v>
      </c>
    </row>
    <row r="10">
      <c r="A10" s="1" t="inlineStr">
        <is>
          <t>Total AVE</t>
        </is>
      </c>
      <c r="B10" s="7" t="n">
        <v>2326.53</v>
      </c>
    </row>
    <row r="11">
      <c r="A11" s="1" t="inlineStr">
        <is>
          <t>Total Journalist Shares</t>
        </is>
      </c>
      <c r="B11" s="2" t="n">
        <v>0</v>
      </c>
    </row>
    <row r="12">
      <c r="A12" s="1" t="inlineStr">
        <is>
          <t>Total Journalist Reach</t>
        </is>
      </c>
      <c r="B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24" customWidth="1" min="4" max="4"/>
    <col width="19" customWidth="1" min="5" max="5"/>
    <col width="48" customWidth="1" min="6" max="6"/>
    <col width="28" customWidth="1" min="7" max="7"/>
    <col width="17" customWidth="1" min="8" max="8"/>
    <col width="16" customWidth="1" min="9" max="9"/>
    <col width="16" customWidth="1" min="10" max="10"/>
    <col width="13" customWidth="1" min="11" max="11"/>
    <col width="17" customWidth="1" min="12" max="12"/>
    <col width="19" customWidth="1" min="13" max="13"/>
    <col width="24" customWidth="1" min="14" max="14"/>
    <col width="29" customWidth="1" min="15" max="15"/>
    <col width="34" customWidth="1" min="16" max="16"/>
    <col width="24" customWidth="1" min="17" max="17"/>
  </cols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</row>
    <row r="2">
      <c r="A2" s="2" t="inlineStr">
        <is>
          <t>Любимый народный предприниматель представляет сферу инвестиций</t>
        </is>
      </c>
      <c r="B2" s="2">
        <f>HYPERLINK("https://www.dv.ee/novosti/2026/01/01/ljubimyj-narodnyj-predprinimatel-predstavljaet-sferu-investicij")</f>
        <v/>
      </c>
      <c r="C2" s="2" t="inlineStr"/>
      <c r="D2" s="2" t="inlineStr">
        <is>
          <t>Delovõje Vedomosti</t>
        </is>
      </c>
      <c r="E2" s="8" t="n">
        <v>46023.28096064815</v>
      </c>
      <c r="F2" s="2" t="inlineStr">
        <is>
          <t>Для компаний Тоомаса Аннуса годы выдались исключительно успешными: самый высокий офисный небоскреб Эстонии — Arter в центре Таллинна и окружающий его деловой квартал — развивала компания Kapitel, а строила Merko.</t>
        </is>
      </c>
      <c r="G2" s="2" t="n">
        <v>40321</v>
      </c>
      <c r="H2" s="2" t="n">
        <v>0</v>
      </c>
      <c r="I2" s="2" t="n">
        <v>0</v>
      </c>
      <c r="J2" s="2" t="n">
        <v>9</v>
      </c>
      <c r="K2" s="2" t="n"/>
      <c r="L2" s="2" t="inlineStr">
        <is>
          <t>Tallinn</t>
        </is>
      </c>
      <c r="M2" s="2" t="inlineStr">
        <is>
          <t>Harjumaa</t>
        </is>
      </c>
      <c r="N2" s="2" t="inlineStr">
        <is>
          <t>Estonia</t>
        </is>
      </c>
      <c r="O2" s="7" t="n">
        <v>372.97</v>
      </c>
      <c r="P2" s="2" t="n">
        <v>41</v>
      </c>
      <c r="Q2" s="2" t="n"/>
    </row>
    <row r="3">
      <c r="A3" s="2" t="inlineStr">
        <is>
          <t>Rahva lemmikettevõtja tuleb investeerimise valdkonnast</t>
        </is>
      </c>
      <c r="B3" s="2">
        <f>HYPERLINK("https://www.aripaev.ee/uudised/2026/01/01/rahva-lemmikettevotja-tuleb-investeerimise-valdkonnast")</f>
        <v/>
      </c>
      <c r="C3" s="2" t="inlineStr"/>
      <c r="D3" s="2" t="inlineStr">
        <is>
          <t>Äripäev</t>
        </is>
      </c>
      <c r="E3" s="8" t="n">
        <v>46023.214375</v>
      </c>
      <c r="F3" s="2" t="inlineStr">
        <is>
          <t>Uhke maamärgiga maha saanud Toomas Annus
Toomas Annuse ettevõtetel on olnud võimsad aastad: Eesti kõige kõrgemat büroohoonet, Tallinna südalinna kerkinud Arterit ning seda ümbritsevat ärikvartalit arendas Kapitel ja ehitas Merko. Mõlemad firmad saavutasid mullu rekordkäibe ja ka kasumi.</t>
        </is>
      </c>
      <c r="G3" s="2" t="n">
        <v>211196</v>
      </c>
      <c r="H3" s="2" t="n">
        <v>0</v>
      </c>
      <c r="I3" s="2" t="n">
        <v>0</v>
      </c>
      <c r="J3" s="2" t="n">
        <v>0</v>
      </c>
      <c r="K3" s="2" t="n"/>
      <c r="L3" s="2" t="inlineStr">
        <is>
          <t>Tallinn</t>
        </is>
      </c>
      <c r="M3" s="2" t="inlineStr"/>
      <c r="N3" s="2" t="inlineStr">
        <is>
          <t>Estonia</t>
        </is>
      </c>
      <c r="O3" s="7" t="n">
        <v>1953.56</v>
      </c>
      <c r="P3" s="2" t="n">
        <v>54</v>
      </c>
      <c r="Q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2026-02-18T14:11:53Z</dcterms:created>
  <dcterms:modified xmlns:dcterms="http://purl.org/dc/terms/" xmlns:xsi="http://www.w3.org/2001/XMLSchema-instance" xsi:type="dcterms:W3CDTF">2026-02-18T14:11:53Z</dcterms:modified>
</cp:coreProperties>
</file>