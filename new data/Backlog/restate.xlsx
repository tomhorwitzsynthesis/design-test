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_-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1"/>
    <xf numFmtId="0" fontId="2" fillId="0" borderId="1" applyAlignment="1">
      <alignment vertical="top" wrapText="1"/>
    </xf>
    <xf numFmtId="164" fontId="2" fillId="0" borderId="1" applyAlignment="1">
      <alignment vertical="top" wrapText="1"/>
    </xf>
    <xf numFmtId="165" fontId="2" fillId="0" borderId="1" applyAlignment="1">
      <alignment vertical="top" wrapText="1"/>
    </xf>
    <xf numFmtId="166" fontId="2" fillId="0" borderId="1" applyAlignment="1">
      <alignment vertical="top" wrapText="1"/>
    </xf>
  </cellStyleXfs>
  <cellXfs count="9">
    <xf numFmtId="0" fontId="0" fillId="0" borderId="0" pivotButton="0" quotePrefix="0" xfId="0"/>
    <xf numFmtId="0" fontId="1" fillId="0" borderId="1" pivotButton="0" quotePrefix="0" xfId="1"/>
    <xf numFmtId="0" fontId="2" fillId="0" borderId="1" applyAlignment="1" pivotButton="0" quotePrefix="0" xfId="2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</cellXfs>
  <cellStyles count="6">
    <cellStyle name="Normal" xfId="0" builtinId="0" hidden="0"/>
    <cellStyle name="mr_header" xfId="1" hidden="0"/>
    <cellStyle name="mr_normal" xfId="2" hidden="0"/>
    <cellStyle name="mr_date" xfId="3" hidden="0"/>
    <cellStyle name="mr_currency" xfId="4" hidden="0"/>
    <cellStyle name="mr_datetim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Report</t>
        </is>
      </c>
      <c r="B1" s="2" t="inlineStr">
        <is>
          <t>Restate</t>
        </is>
      </c>
    </row>
    <row r="2">
      <c r="A2" s="1" t="inlineStr">
        <is>
          <t>URL</t>
        </is>
      </c>
      <c r="B2" s="2">
        <f>HYPERLINK("https://particle-agency.muckrack.com/coverage-reports/gnZn/edit/")</f>
        <v/>
      </c>
    </row>
    <row r="3">
      <c r="A3" s="1" t="inlineStr">
        <is>
          <t>Exported On</t>
        </is>
      </c>
      <c r="B3" s="6" t="n">
        <v>46071</v>
      </c>
    </row>
    <row r="4">
      <c r="A4" s="1" t="inlineStr">
        <is>
          <t>Generated By</t>
        </is>
      </c>
      <c r="B4" s="2" t="inlineStr">
        <is>
          <t>Ieva Mackeviciute</t>
        </is>
      </c>
    </row>
    <row r="6">
      <c r="A6" s="1" t="inlineStr">
        <is>
          <t>Links</t>
        </is>
      </c>
      <c r="B6" s="2" t="n">
        <v>8</v>
      </c>
    </row>
    <row r="7">
      <c r="A7" s="1" t="inlineStr">
        <is>
          <t>Total Engagement</t>
        </is>
      </c>
      <c r="B7" s="2" t="n">
        <v>110</v>
      </c>
    </row>
    <row r="8">
      <c r="A8" s="1" t="inlineStr">
        <is>
          <t>Average Engagement</t>
        </is>
      </c>
      <c r="B8" s="2" t="n">
        <v>13</v>
      </c>
    </row>
    <row r="9">
      <c r="A9" s="1" t="inlineStr">
        <is>
          <t>Total UVM (Insights by Similarweb)</t>
        </is>
      </c>
      <c r="B9" s="2" t="n">
        <v>481573</v>
      </c>
    </row>
    <row r="10">
      <c r="A10" s="1" t="inlineStr">
        <is>
          <t>Total AVE</t>
        </is>
      </c>
      <c r="B10" s="7" t="n">
        <v>4454.54</v>
      </c>
    </row>
    <row r="11">
      <c r="A11" s="1" t="inlineStr">
        <is>
          <t>Total Journalist Shares</t>
        </is>
      </c>
      <c r="B11" s="2" t="n">
        <v>0</v>
      </c>
    </row>
    <row r="12">
      <c r="A12" s="1" t="inlineStr">
        <is>
          <t>Total Journalist Reach</t>
        </is>
      </c>
      <c r="B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4" customWidth="1" min="3" max="3"/>
    <col width="24" customWidth="1" min="4" max="4"/>
    <col width="19" customWidth="1" min="5" max="5"/>
    <col width="48" customWidth="1" min="6" max="6"/>
    <col width="28" customWidth="1" min="7" max="7"/>
    <col width="17" customWidth="1" min="8" max="8"/>
    <col width="16" customWidth="1" min="9" max="9"/>
    <col width="16" customWidth="1" min="10" max="10"/>
    <col width="13" customWidth="1" min="11" max="11"/>
    <col width="17" customWidth="1" min="12" max="12"/>
    <col width="19" customWidth="1" min="13" max="13"/>
    <col width="24" customWidth="1" min="14" max="14"/>
    <col width="29" customWidth="1" min="15" max="15"/>
    <col width="34" customWidth="1" min="16" max="16"/>
    <col width="24" customWidth="1" min="17" max="17"/>
  </cols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</row>
    <row r="2">
      <c r="A2" s="2" t="inlineStr">
        <is>
          <t>Larseni majutus paisus, ent üüriturg on pinges</t>
        </is>
      </c>
      <c r="B2" s="2">
        <f>HYPERLINK("https://www.kinnisvarauudised.ee/uudised/2026/01/29/larseni-majutus-paisus-ent-uuriturg-on-pinges")</f>
        <v/>
      </c>
      <c r="C2" s="2" t="inlineStr"/>
      <c r="D2" s="2" t="inlineStr">
        <is>
          <t>Kinnisvarauudised.ee</t>
        </is>
      </c>
      <c r="E2" s="8" t="n">
        <v>46051</v>
      </c>
      <c r="F2" s="2" t="inlineStr">
        <is>
          <t>Vaata, mida prognoosis üüriturule Restate´i kinnisvaraanalüütik Julia Linde.
Augustis avas Larsen ühe oma majutushoone Tallinna Loomaia lähistel.
Foto: Andras Kralla
Seotud lood
ST
28.01.26, 16:34
Hooned on nagu inimesed, nemadki saavad kord vanaks.</t>
        </is>
      </c>
      <c r="G2" s="2" t="n">
        <v>3772</v>
      </c>
      <c r="H2" s="2" t="n"/>
      <c r="I2" s="2" t="n"/>
      <c r="J2" s="2" t="n"/>
      <c r="K2" s="2" t="n"/>
      <c r="L2" s="2" t="inlineStr"/>
      <c r="M2" s="2" t="inlineStr"/>
      <c r="N2" s="2" t="inlineStr">
        <is>
          <t>Estonia</t>
        </is>
      </c>
      <c r="O2" s="7" t="n">
        <v>34.89</v>
      </c>
      <c r="P2" s="2" t="n">
        <v>35</v>
      </c>
      <c r="Q2" s="2" t="n"/>
    </row>
    <row r="3">
      <c r="A3" s="2" t="inlineStr">
        <is>
          <t>Laur ennustab Livenile 20% müügitulu kasvu</t>
        </is>
      </c>
      <c r="B3" s="2">
        <f>HYPERLINK("https://www.kinnisvarauudised.ee/uudised/2026/01/29/laur-ennustab-livenile-20-muugitulu-kasvu")</f>
        <v/>
      </c>
      <c r="C3" s="2" t="inlineStr"/>
      <c r="D3" s="2" t="inlineStr">
        <is>
          <t>Kinnisvarauudised.ee</t>
        </is>
      </c>
      <c r="E3" s="8" t="n">
        <v>46051</v>
      </c>
      <c r="F3" s="2" t="inlineStr">
        <is>
          <t>Foto: Liis Treimann
Seotud lood
Harjumaa kinnisvaraturg on kokkuvõtvalt veel ostja ja üürija kasuks, kirjutab Restate analüütik Julia Linde suures kinnisvaraturu ülevaates.
See puudutab linnavõimu, arendajaid, arhitekte, ehitajaid. Turvavööd hoidke ligi.</t>
        </is>
      </c>
      <c r="G3" s="2" t="n">
        <v>3772</v>
      </c>
      <c r="H3" s="2" t="n">
        <v>0</v>
      </c>
      <c r="I3" s="2" t="n">
        <v>0</v>
      </c>
      <c r="J3" s="2" t="n">
        <v>27</v>
      </c>
      <c r="K3" s="2" t="n"/>
      <c r="L3" s="2" t="inlineStr"/>
      <c r="M3" s="2" t="inlineStr"/>
      <c r="N3" s="2" t="inlineStr">
        <is>
          <t>Estonia</t>
        </is>
      </c>
      <c r="O3" s="7" t="n">
        <v>34.89</v>
      </c>
      <c r="P3" s="2" t="n">
        <v>35</v>
      </c>
      <c r="Q3" s="2" t="n"/>
    </row>
    <row r="4">
      <c r="A4" s="2" t="inlineStr">
        <is>
          <t>Õppetunnid praktikult: kuidas osta Ida-Virumaal kinnisvara?</t>
        </is>
      </c>
      <c r="B4" s="2">
        <f>HYPERLINK("https://www.aripaev.ee/borsiuudised/2026/01/28/oppetunnid-praktikult-kuidas-osta-ida-virumaal-kinnisvara")</f>
        <v/>
      </c>
      <c r="C4" s="2" t="inlineStr"/>
      <c r="D4" s="2" t="inlineStr">
        <is>
          <t>Äripäev</t>
        </is>
      </c>
      <c r="E4" s="8" t="n">
        <v>46050.15340277777</v>
      </c>
      <c r="F4" s="2" t="inlineStr">
        <is>
          <t>Harjumaa kinnisvaraturg on kokkuvõtvalt veel ostja ja üürija kasuks, kirjutab Restate analüütik Julia Linde suures kinnisvaraturu ülevaates.
27.01.26, 14:46
Raivo Hein avas investor Toomase konverentsil oma vaate tehnoloogiliste ajastute vahetumisele ning sellele, kuidas investor võiks tehisintellekti</t>
        </is>
      </c>
      <c r="G4" s="2" t="n">
        <v>211196</v>
      </c>
      <c r="H4" s="2" t="n">
        <v>0</v>
      </c>
      <c r="I4" s="2" t="n">
        <v>0</v>
      </c>
      <c r="J4" s="2" t="n">
        <v>0</v>
      </c>
      <c r="K4" s="2" t="n"/>
      <c r="L4" s="2" t="inlineStr">
        <is>
          <t>Tallinn</t>
        </is>
      </c>
      <c r="M4" s="2" t="inlineStr"/>
      <c r="N4" s="2" t="inlineStr">
        <is>
          <t>Estonia</t>
        </is>
      </c>
      <c r="O4" s="7" t="n">
        <v>1953.56</v>
      </c>
      <c r="P4" s="2" t="n">
        <v>54</v>
      </c>
      <c r="Q4" s="2" t="n"/>
    </row>
    <row r="5">
      <c r="A5" s="2" t="inlineStr">
        <is>
          <t>Юлия Линде: на рынке квартир Харьюмаа заметна скрытая коррекция</t>
        </is>
      </c>
      <c r="B5" s="2">
        <f>HYPERLINK("https://www.dv.ee/mnenija/2026/01/28/julija-linde-na-rynke-kvartir-harjumaa-zametna-skrytaja-korrekcija")</f>
        <v/>
      </c>
      <c r="C5" s="2" t="inlineStr"/>
      <c r="D5" s="2" t="inlineStr">
        <is>
          <t>Delovõje Vedomosti</t>
        </is>
      </c>
      <c r="E5" s="8" t="n">
        <v>46050.08513888889</v>
      </c>
      <c r="F5" s="2" t="inlineStr">
        <is>
          <t>В целом рынок недвижимости Харьюмаа по-прежнему остается на стороне покупателя и арендатора, пишет аналитик Restate Юлия Линде в большом обзоре рынка недвижимости.</t>
        </is>
      </c>
      <c r="G5" s="2" t="n">
        <v>40321</v>
      </c>
      <c r="H5" s="2" t="n">
        <v>0</v>
      </c>
      <c r="I5" s="2" t="n">
        <v>0</v>
      </c>
      <c r="J5" s="2" t="n">
        <v>24</v>
      </c>
      <c r="K5" s="2" t="n"/>
      <c r="L5" s="2" t="inlineStr">
        <is>
          <t>Tallinn</t>
        </is>
      </c>
      <c r="M5" s="2" t="inlineStr">
        <is>
          <t>Harjumaa</t>
        </is>
      </c>
      <c r="N5" s="2" t="inlineStr">
        <is>
          <t>Estonia</t>
        </is>
      </c>
      <c r="O5" s="7" t="n">
        <v>372.97</v>
      </c>
      <c r="P5" s="2" t="n">
        <v>41</v>
      </c>
      <c r="Q5" s="2" t="n"/>
    </row>
    <row r="6">
      <c r="A6" s="2" t="inlineStr">
        <is>
          <t>Julia Linde: Harjumaa korteriturul on näha varjatud korrektsiooni</t>
        </is>
      </c>
      <c r="B6" s="2">
        <f>HYPERLINK("https://www.kinnisvarauudised.ee/arvamused/2026/01/28/julia-linde-harjumaa-korteriturul-on-naha-varjatud-korrektsiooni")</f>
        <v/>
      </c>
      <c r="C6" s="2" t="inlineStr"/>
      <c r="D6" s="2" t="inlineStr">
        <is>
          <t>Kinnisvarauudised.ee</t>
        </is>
      </c>
      <c r="E6" s="8" t="n">
        <v>46050</v>
      </c>
      <c r="F6" s="2" t="inlineStr">
        <is>
          <t>Harjumaa kinnisvaraturg on kokkuvõtvalt veel ostja ja üürija kasuks, kirjutab Restate analüütik Julia Linde suures kinnisvaraturu ülevaates.
Üldises plaanis on 2026. aastal oodata Harjumaa kinnisvaraturu mõõdukat kasvu, ütleb Julia Linde.</t>
        </is>
      </c>
      <c r="G6" s="2" t="n">
        <v>3772</v>
      </c>
      <c r="H6" s="2" t="n">
        <v>0</v>
      </c>
      <c r="I6" s="2" t="n">
        <v>0</v>
      </c>
      <c r="J6" s="2" t="n">
        <v>2</v>
      </c>
      <c r="K6" s="2" t="n"/>
      <c r="L6" s="2" t="inlineStr"/>
      <c r="M6" s="2" t="inlineStr"/>
      <c r="N6" s="2" t="inlineStr">
        <is>
          <t>Estonia</t>
        </is>
      </c>
      <c r="O6" s="7" t="n">
        <v>34.89</v>
      </c>
      <c r="P6" s="2" t="n">
        <v>35</v>
      </c>
      <c r="Q6" s="2" t="n"/>
    </row>
    <row r="7">
      <c r="A7" s="2" t="inlineStr">
        <is>
          <t>Restate´i juhid: ära müü, vaid otsi kliendi päris probleem üles</t>
        </is>
      </c>
      <c r="B7" s="2">
        <f>HYPERLINK("https://www.kinnisvarauudised.ee/uudised/2026/01/28/restatei-juhid-ara-muu-vaid-otsi-kliendi-paris-probleem-ules")</f>
        <v/>
      </c>
      <c r="C7" s="2" t="inlineStr"/>
      <c r="D7" s="2" t="inlineStr">
        <is>
          <t>Kinnisvarauudised.ee</t>
        </is>
      </c>
      <c r="E7" s="8" t="n">
        <v>46050</v>
      </c>
      <c r="F7" s="2" t="inlineStr">
        <is>
          <t>Restate´i tegevjuht Risto Abel.
Foto: Raul Mee
Alates esimestest kokkupuudetest müügiga kuni ettevõtte ülesehitamiseni.</t>
        </is>
      </c>
      <c r="G7" s="2" t="n">
        <v>3772</v>
      </c>
      <c r="H7" s="2" t="n">
        <v>0</v>
      </c>
      <c r="I7" s="2" t="n">
        <v>0</v>
      </c>
      <c r="J7" s="2" t="n">
        <v>29</v>
      </c>
      <c r="K7" s="2" t="n"/>
      <c r="L7" s="2" t="inlineStr"/>
      <c r="M7" s="2" t="inlineStr"/>
      <c r="N7" s="2" t="inlineStr">
        <is>
          <t>Estonia</t>
        </is>
      </c>
      <c r="O7" s="7" t="n">
        <v>34.89</v>
      </c>
      <c r="P7" s="2" t="n">
        <v>35</v>
      </c>
      <c r="Q7" s="2" t="n"/>
    </row>
    <row r="8">
      <c r="A8" s="2" t="inlineStr">
        <is>
          <t>Julia Linde: Harjumaa korteriturul on näha varjatud korrektsiooni</t>
        </is>
      </c>
      <c r="B8" s="2">
        <f>HYPERLINK("https://www.aripaev.ee/arvamused/2026/01/28/julia-linde-harjumaa-korteriturul-on-naha-varjatud-korrektsiooni")</f>
        <v/>
      </c>
      <c r="C8" s="2" t="inlineStr"/>
      <c r="D8" s="2" t="inlineStr">
        <is>
          <t>Äripäev</t>
        </is>
      </c>
      <c r="E8" s="8" t="n">
        <v>46049.9608912037</v>
      </c>
      <c r="F8" s="2" t="inlineStr">
        <is>
          <t>Harjumaa kinnisvaraturg on kokkuvõtvalt veel ostja ja üürija kasuks, kirjutab Restate analüütik Julia Linde suures kinnisvaraturu ülevaates.
Üldises plaanis on 2026. aastal oodata Harjumaa kinnisvaraturu mõõdukat kasvu, ütleb Julia Linde.</t>
        </is>
      </c>
      <c r="G8" s="2" t="n">
        <v>211196</v>
      </c>
      <c r="H8" s="2" t="n">
        <v>0</v>
      </c>
      <c r="I8" s="2" t="n">
        <v>0</v>
      </c>
      <c r="J8" s="2" t="n">
        <v>0</v>
      </c>
      <c r="K8" s="2" t="n"/>
      <c r="L8" s="2" t="inlineStr">
        <is>
          <t>Tallinn</t>
        </is>
      </c>
      <c r="M8" s="2" t="inlineStr"/>
      <c r="N8" s="2" t="inlineStr">
        <is>
          <t>Estonia</t>
        </is>
      </c>
      <c r="O8" s="7" t="n">
        <v>1953.56</v>
      </c>
      <c r="P8" s="2" t="n">
        <v>54</v>
      </c>
      <c r="Q8" s="2" t="n"/>
    </row>
    <row r="9">
      <c r="A9" s="2" t="inlineStr">
        <is>
          <t>2026 on kinnisvarahalduses valikute aasta, otsustamatus muutub riskiks</t>
        </is>
      </c>
      <c r="B9" s="2">
        <f>HYPERLINK("https://www.kinnisvarauudised.ee/uudised/2026/01/05/2026-on-kinnisvarahalduses-valikute-aasta-otsustamatus-muutub-riskiks")</f>
        <v/>
      </c>
      <c r="C9" s="2" t="inlineStr"/>
      <c r="D9" s="2" t="inlineStr">
        <is>
          <t>Kinnisvarauudised.ee</t>
        </is>
      </c>
      <c r="E9" s="8" t="n">
        <v>46027</v>
      </c>
      <c r="F9" s="2" t="inlineStr">
        <is>
          <t>Kinnisvaraarenduses ei tehta hullusid kasumeid ja onu Heinode roll arendusega käsikäes käivas halduses muutub aina marginaalsemaks, märgivad Restate´i nõukogu liige Ardi Roosimaa ja Newsec Eesti üksuse arenduse juht Janek Hintsov.</t>
        </is>
      </c>
      <c r="G9" s="2" t="n">
        <v>3772</v>
      </c>
      <c r="H9" s="2" t="n">
        <v>0</v>
      </c>
      <c r="I9" s="2" t="n">
        <v>0</v>
      </c>
      <c r="J9" s="2" t="n">
        <v>28</v>
      </c>
      <c r="K9" s="2" t="n"/>
      <c r="L9" s="2" t="inlineStr"/>
      <c r="M9" s="2" t="inlineStr"/>
      <c r="N9" s="2" t="inlineStr">
        <is>
          <t>Estonia</t>
        </is>
      </c>
      <c r="O9" s="7" t="n">
        <v>34.89</v>
      </c>
      <c r="P9" s="2" t="n">
        <v>35</v>
      </c>
      <c r="Q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2026-02-18T13:12:02Z</dcterms:created>
  <dcterms:modified xmlns:dcterms="http://purl.org/dc/terms/" xmlns:xsi="http://www.w3.org/2001/XMLSchema-instance" xsi:type="dcterms:W3CDTF">2026-02-18T13:12:02Z</dcterms:modified>
</cp:coreProperties>
</file>