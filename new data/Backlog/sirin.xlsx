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rticles" sheetId="2" state="visible" r:id="rId2"/>
  </sheets>
  <definedNames/>
  <calcPr calcId="124519" fullCalcOnLoad="1"/>
</workbook>
</file>

<file path=xl/styles.xml><?xml version="1.0" encoding="utf-8"?>
<styleSheet xmlns="http://schemas.openxmlformats.org/spreadsheetml/2006/main">
  <numFmts count="3">
    <numFmt numFmtId="164" formatCode="YYYY-mm-dd"/>
    <numFmt numFmtId="165" formatCode="&quot;$&quot;#,##0.00_-"/>
    <numFmt numFmtId="166" formatCode="YYYY-mm-dd HH:MM:SS"/>
  </numFmts>
  <fonts count="3">
    <font>
      <name val="Calibri"/>
      <family val="2"/>
      <color theme="1"/>
      <sz val="11"/>
      <scheme val="minor"/>
    </font>
    <font>
      <name val="Arial"/>
      <b val="1"/>
      <sz val="10"/>
    </font>
    <font>
      <name val="Arial"/>
      <sz val="10"/>
    </font>
  </fonts>
  <fills count="2">
    <fill>
      <patternFill/>
    </fill>
    <fill>
      <patternFill patternType="gray125"/>
    </fill>
  </fills>
  <borders count="2">
    <border>
      <left/>
      <right/>
      <top/>
      <bottom/>
      <diagonal/>
    </border>
    <border/>
  </borders>
  <cellStyleXfs count="6">
    <xf numFmtId="0" fontId="0" fillId="0" borderId="0"/>
    <xf numFmtId="0" fontId="1" fillId="0" borderId="1"/>
    <xf numFmtId="0" fontId="2" fillId="0" borderId="1" applyAlignment="1">
      <alignment vertical="top" wrapText="1"/>
    </xf>
    <xf numFmtId="164" fontId="2" fillId="0" borderId="1" applyAlignment="1">
      <alignment vertical="top" wrapText="1"/>
    </xf>
    <xf numFmtId="165" fontId="2" fillId="0" borderId="1" applyAlignment="1">
      <alignment vertical="top" wrapText="1"/>
    </xf>
    <xf numFmtId="166" fontId="2" fillId="0" borderId="1" applyAlignment="1">
      <alignment vertical="top" wrapText="1"/>
    </xf>
  </cellStyleXfs>
  <cellXfs count="9">
    <xf numFmtId="0" fontId="0" fillId="0" borderId="0" pivotButton="0" quotePrefix="0" xfId="0"/>
    <xf numFmtId="0" fontId="1" fillId="0" borderId="1" pivotButton="0" quotePrefix="0" xfId="1"/>
    <xf numFmtId="0" fontId="2" fillId="0" borderId="1" applyAlignment="1" pivotButton="0" quotePrefix="0" xfId="2">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cellXfs>
  <cellStyles count="6">
    <cellStyle name="Normal" xfId="0" builtinId="0" hidden="0"/>
    <cellStyle name="mr_header" xfId="1" hidden="0"/>
    <cellStyle name="mr_normal" xfId="2" hidden="0"/>
    <cellStyle name="mr_date" xfId="3" hidden="0"/>
    <cellStyle name="mr_currency" xfId="4" hidden="0"/>
    <cellStyle name="mr_datetim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32" customWidth="1" min="2" max="2"/>
  </cols>
  <sheetData>
    <row r="1">
      <c r="A1" s="1" t="inlineStr">
        <is>
          <t>Report</t>
        </is>
      </c>
      <c r="B1" s="2" t="inlineStr">
        <is>
          <t>SIRIN</t>
        </is>
      </c>
    </row>
    <row r="2">
      <c r="A2" s="1" t="inlineStr">
        <is>
          <t>URL</t>
        </is>
      </c>
      <c r="B2" s="2">
        <f>HYPERLINK("https://particle-agency.muckrack.com/coverage-reports/gnZ0/edit/")</f>
        <v/>
      </c>
    </row>
    <row r="3">
      <c r="A3" s="1" t="inlineStr">
        <is>
          <t>Exported On</t>
        </is>
      </c>
      <c r="B3" s="6" t="n">
        <v>46071</v>
      </c>
    </row>
    <row r="4">
      <c r="A4" s="1" t="inlineStr">
        <is>
          <t>Generated By</t>
        </is>
      </c>
      <c r="B4" s="2" t="inlineStr">
        <is>
          <t>Ieva Mackeviciute</t>
        </is>
      </c>
    </row>
    <row r="6">
      <c r="A6" s="1" t="inlineStr">
        <is>
          <t>Links</t>
        </is>
      </c>
      <c r="B6" s="2" t="n">
        <v>13</v>
      </c>
    </row>
    <row r="7">
      <c r="A7" s="1" t="inlineStr">
        <is>
          <t>Total Engagement</t>
        </is>
      </c>
      <c r="B7" s="2" t="n">
        <v>23</v>
      </c>
    </row>
    <row r="8">
      <c r="A8" s="1" t="inlineStr">
        <is>
          <t>Average Engagement</t>
        </is>
      </c>
      <c r="B8" s="2" t="n">
        <v>1</v>
      </c>
    </row>
    <row r="9">
      <c r="A9" s="1" t="inlineStr">
        <is>
          <t>Total UVM (Insights by Similarweb)</t>
        </is>
      </c>
      <c r="B9" s="2" t="n">
        <v>5811165</v>
      </c>
    </row>
    <row r="10">
      <c r="A10" s="1" t="inlineStr">
        <is>
          <t>Total AVE</t>
        </is>
      </c>
      <c r="B10" s="7" t="n">
        <v>53753.27</v>
      </c>
    </row>
    <row r="11">
      <c r="A11" s="1" t="inlineStr">
        <is>
          <t>Total Journalist Shares</t>
        </is>
      </c>
      <c r="B11" s="2" t="n">
        <v>0</v>
      </c>
    </row>
    <row r="12">
      <c r="A12" s="1" t="inlineStr">
        <is>
          <t>Total Journalist Reach</t>
        </is>
      </c>
      <c r="B1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cols>
    <col width="48" customWidth="1" min="1" max="1"/>
    <col width="32" customWidth="1" min="2" max="2"/>
    <col width="24" customWidth="1" min="3" max="3"/>
    <col width="24" customWidth="1" min="4" max="4"/>
    <col width="19" customWidth="1" min="5" max="5"/>
    <col width="48" customWidth="1" min="6" max="6"/>
    <col width="28" customWidth="1" min="7" max="7"/>
    <col width="17" customWidth="1" min="8" max="8"/>
    <col width="16" customWidth="1" min="9" max="9"/>
    <col width="16" customWidth="1" min="10" max="10"/>
    <col width="13" customWidth="1" min="11" max="11"/>
    <col width="17" customWidth="1" min="12" max="12"/>
    <col width="19" customWidth="1" min="13" max="13"/>
    <col width="24" customWidth="1" min="14" max="14"/>
    <col width="29" customWidth="1" min="15" max="15"/>
    <col width="34" customWidth="1" min="16" max="16"/>
    <col width="24" customWidth="1" min="17" max="17"/>
  </cols>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row>
    <row r="2">
      <c r="A2" s="2" t="inlineStr">
        <is>
          <t>"Sirin Development" investēs 25 miljonus eiro Rumbulas loģistikas parka paplašināšanā</t>
        </is>
      </c>
      <c r="B2" s="2">
        <f>HYPERLINK("https://www.lsm.lv/raksts/zinas/ekonomika/30.01.2026-sirin-development-investes-25-miljonus-eiro-rumbulas-logistikas-parka-paplasinasana.a632378/")</f>
        <v/>
      </c>
      <c r="C2" s="2" t="inlineStr"/>
      <c r="D2" s="2" t="inlineStr">
        <is>
          <t>LSM</t>
        </is>
      </c>
      <c r="E2" s="8" t="n">
        <v>46052.23178240741</v>
      </c>
      <c r="F2" s="2" t="inlineStr">
        <is>
          <t>"Sirin Park Rumbula" loģistikas parka paplašināšana radīs apmēram 300 jaunas darba vietas.
"Sirin Development" Biznesa attīstības nodaļas vadītājs Edvīns Navicks norādīja, ka savu darbību Latvijā "Sirin Development" sāka Rumbulā, trīs kārtās izbūvējot loģistikas parku 84 000 kvadrātmetru platībā.</t>
        </is>
      </c>
      <c r="G2" s="2" t="n">
        <v>871058</v>
      </c>
      <c r="H2" s="2" t="n">
        <v>0</v>
      </c>
      <c r="I2" s="2" t="n">
        <v>0</v>
      </c>
      <c r="J2" s="2" t="n">
        <v>0</v>
      </c>
      <c r="K2" s="2" t="n"/>
      <c r="L2" s="2" t="inlineStr">
        <is>
          <t>Riga</t>
        </is>
      </c>
      <c r="M2" s="2" t="inlineStr">
        <is>
          <t>Rīga</t>
        </is>
      </c>
      <c r="N2" s="2" t="inlineStr">
        <is>
          <t>Latvia</t>
        </is>
      </c>
      <c r="O2" s="7" t="n">
        <v>8057.29</v>
      </c>
      <c r="P2" s="2" t="n">
        <v>82</v>
      </c>
      <c r="Q2" s="2" t="n"/>
    </row>
    <row r="3">
      <c r="A3" s="2" t="inlineStr">
        <is>
          <t>SIRIN Development investēs 25 miljonus eiro Rumbulas loģistikas parka paplašināšanā</t>
        </is>
      </c>
      <c r="B3" s="2">
        <f>HYPERLINK("https://www.db.lv/zinas/sirin-development-investes-25-miljonus-eiro-rumbulas-logistikas-parka-paplasinasana-525021")</f>
        <v/>
      </c>
      <c r="C3" s="2" t="inlineStr"/>
      <c r="D3" s="2" t="inlineStr">
        <is>
          <t>Dienas Bizness</t>
        </is>
      </c>
      <c r="E3" s="8" t="n">
        <v>46052</v>
      </c>
      <c r="F3" s="2" t="inlineStr">
        <is>
          <t>SIRIN Park Rumbula loģistikas parka paplašināšana radīs apmēram 300 jaunas darba vietas.</t>
        </is>
      </c>
      <c r="G3" s="2" t="n">
        <v>81988</v>
      </c>
      <c r="H3" s="2" t="n">
        <v>0</v>
      </c>
      <c r="I3" s="2" t="n">
        <v>0</v>
      </c>
      <c r="J3" s="2" t="n">
        <v>23</v>
      </c>
      <c r="K3" s="2" t="n"/>
      <c r="L3" s="2" t="inlineStr"/>
      <c r="M3" s="2" t="inlineStr">
        <is>
          <t>Rīga</t>
        </is>
      </c>
      <c r="N3" s="2" t="inlineStr">
        <is>
          <t>Latvia</t>
        </is>
      </c>
      <c r="O3" s="7" t="n">
        <v>758.39</v>
      </c>
      <c r="P3" s="2" t="n">
        <v>60</v>
      </c>
      <c r="Q3" s="2" t="n"/>
    </row>
    <row r="4">
      <c r="A4" s="2" t="inlineStr">
        <is>
          <t>Toompark Ülemiste kohalikele: reisiterminal muudab Tallinna kinnisvarakaarti - 5 aspekti</t>
        </is>
      </c>
      <c r="B4" s="2">
        <f>HYPERLINK("https://www.kinnisvarauudised.ee/uudised/2026/01/23/toompark-ulemiste-kohalikele-reisiterminal-muudab-tallinna-kinnisvarakaarti-5-aspekti")</f>
        <v/>
      </c>
      <c r="C4" s="2" t="inlineStr"/>
      <c r="D4" s="2" t="inlineStr">
        <is>
          <t>Kinnisvarauudised.ee</t>
        </is>
      </c>
      <c r="E4" s="8" t="n">
        <v>46045</v>
      </c>
      <c r="F4" s="2" t="inlineStr">
        <is>
          <t>Oli viga prioritiseerida niivõrd suuremahulist investeeringut korraliku kiirteede ja maanteedevõrgustiku asemel, tõdes Kinnisvarauudistele antud eriintervjuus SIRIN Developmenti tegevjuht Laurynas Kuzavas Rail Baltica teemal. Ta analüüsib olukorda lähemalt ärikinnisvaraturu vaatest.</t>
        </is>
      </c>
      <c r="G4" s="2" t="n">
        <v>3772</v>
      </c>
      <c r="H4" s="2" t="n"/>
      <c r="I4" s="2" t="n"/>
      <c r="J4" s="2" t="n"/>
      <c r="K4" s="2" t="n"/>
      <c r="L4" s="2" t="inlineStr"/>
      <c r="M4" s="2" t="inlineStr"/>
      <c r="N4" s="2" t="inlineStr">
        <is>
          <t>Estonia</t>
        </is>
      </c>
      <c r="O4" s="7" t="n">
        <v>34.89</v>
      </c>
      <c r="P4" s="2" t="n">
        <v>35</v>
      </c>
      <c r="Q4" s="2" t="n"/>
    </row>
    <row r="5">
      <c r="A5" s="2" t="inlineStr">
        <is>
          <t>„Willgrow“ perduoda „SIRIN Development“ valdymą akcininkams</t>
        </is>
      </c>
      <c r="B5" s="2">
        <f>HYPERLINK("https://www.alfa.lt/verslas/verslo-naujienos/willgrow-perduoda-sirin-development-valdyma-akcininkams/384215/")</f>
        <v/>
      </c>
      <c r="C5" s="2" t="inlineStr"/>
      <c r="D5" s="2" t="inlineStr">
        <is>
          <t>Alfa.lt</t>
        </is>
      </c>
      <c r="E5" s="8" t="n">
        <v>46044.15277777778</v>
      </c>
      <c r="F5" s="2" t="inlineStr">
        <is>
          <t>Aktualu
        Alfa premium
        Naujausios
        ALFA.TV
AktualijosVerslasSportasGyvenimasPramogosOrai
ALFA.TV REKOMENDUOJA</t>
        </is>
      </c>
      <c r="G5" s="2" t="n">
        <v>240335</v>
      </c>
      <c r="H5" s="2" t="n"/>
      <c r="I5" s="2" t="n"/>
      <c r="J5" s="2" t="n"/>
      <c r="K5" s="2" t="n"/>
      <c r="L5" s="2" t="inlineStr">
        <is>
          <t>Vilnius</t>
        </is>
      </c>
      <c r="M5" s="2" t="inlineStr">
        <is>
          <t>Vilniaus Apskritis</t>
        </is>
      </c>
      <c r="N5" s="2" t="inlineStr">
        <is>
          <t>Lithuania</t>
        </is>
      </c>
      <c r="O5" s="7" t="n">
        <v>2223.1</v>
      </c>
      <c r="P5" s="2" t="n">
        <v>56</v>
      </c>
      <c r="Q5" s="2" t="n"/>
    </row>
    <row r="6">
      <c r="A6" s="2" t="inlineStr">
        <is>
          <t>„Sirin Development“ tiesiogiai valdys Mindaugo Railos ir Edvardo Liachovičiaus šeimų biurai</t>
        </is>
      </c>
      <c r="B6" s="2">
        <f>HYPERLINK("https://www.tv3.lt/naujiena/verslas/sirin-development-tiesiogiai-valdys-mindaugo-railos-ir-edvardo-liachoviciaus-seimu-biurai-n1487810")</f>
        <v/>
      </c>
      <c r="C6" s="2" t="inlineStr">
        <is>
          <t>Ugnė Paulauskaitė</t>
        </is>
      </c>
      <c r="D6" s="2" t="inlineStr">
        <is>
          <t>TV3 Lithuania</t>
        </is>
      </c>
      <c r="E6" s="8" t="n">
        <v>46044.07912037037</v>
      </c>
      <c r="F6" s="2" t="inlineStr">
        <is>
          <t>„Įgyvendinus struktūrinius pokyčius „Sirin Development“ įmonių akcijos buvo perleistos tiesiogiai tiems patiems galutiniams akcininkams tomis pačiomis proporcijomis.</t>
        </is>
      </c>
      <c r="G6" s="2" t="n">
        <v>1240858</v>
      </c>
      <c r="H6" s="2" t="n"/>
      <c r="I6" s="2" t="n"/>
      <c r="J6" s="2" t="n"/>
      <c r="K6" s="2" t="n"/>
      <c r="L6" s="2" t="inlineStr">
        <is>
          <t>Vilnius</t>
        </is>
      </c>
      <c r="M6" s="2" t="inlineStr"/>
      <c r="N6" s="2" t="inlineStr">
        <is>
          <t>Lithuania</t>
        </is>
      </c>
      <c r="O6" s="7" t="n">
        <v>11477.94</v>
      </c>
      <c r="P6" s="2" t="n">
        <v>60</v>
      </c>
      <c r="Q6" s="2" t="n"/>
    </row>
    <row r="7">
      <c r="A7" s="2" t="inlineStr">
        <is>
          <t>„Sirin Development“ tiesiogiai valdys Mindaugo Railos, Edvardo Liachovičiaus šeimų biurai</t>
        </is>
      </c>
      <c r="B7" s="2">
        <f>HYPERLINK("https://www.lrt.lt/naujienos/verslas/4/2814026/sirin-development-tiesiogiai-valdys-mindaugo-railos-edvardo-liachoviciaus-seimu-biurai")</f>
        <v/>
      </c>
      <c r="C7" s="2" t="inlineStr"/>
      <c r="D7" s="2" t="inlineStr">
        <is>
          <t>Lithuanian National Radio and Television (LRT)</t>
        </is>
      </c>
      <c r="E7" s="8" t="n">
        <v>46044.04651620371</v>
      </c>
      <c r="F7" s="2" t="inlineStr">
        <is>
          <t>„Įgyvendinus struktūrinius pokyčius „Sirin Development“ įmonių akcijos buvo perleistos tiesiogiai tiems patiems galutiniams akcininkams tomis pačiomis proporcijomis.</t>
        </is>
      </c>
      <c r="G7" s="2" t="n">
        <v>1529307</v>
      </c>
      <c r="H7" s="2" t="n"/>
      <c r="I7" s="2" t="n"/>
      <c r="J7" s="2" t="n"/>
      <c r="K7" s="2" t="n"/>
      <c r="L7" s="2" t="inlineStr">
        <is>
          <t>Vilnius</t>
        </is>
      </c>
      <c r="M7" s="2" t="inlineStr">
        <is>
          <t>Vilniaus Apskritis</t>
        </is>
      </c>
      <c r="N7" s="2" t="inlineStr">
        <is>
          <t>Lithuania</t>
        </is>
      </c>
      <c r="O7" s="7" t="n">
        <v>14146.09</v>
      </c>
      <c r="P7" s="2" t="n">
        <v>68</v>
      </c>
      <c r="Q7" s="2" t="n"/>
    </row>
    <row r="8">
      <c r="A8" s="2" t="inlineStr">
        <is>
          <t>„Sirin Development“ tiesiogiai valdys Mindaugo Railos ir Edvardo Liachovičiaus šeimų biurai</t>
        </is>
      </c>
      <c r="B8" s="2">
        <f>HYPERLINK("https://www.15min.lt/verslas/naujiena/finansai/sirin-development-tiesiogiai-valdys-mindaugo-railos-ir-edvardo-liachoviciaus-seimu-biurai-662-2606300")</f>
        <v/>
      </c>
      <c r="C8" s="2" t="inlineStr"/>
      <c r="D8" s="2" t="inlineStr">
        <is>
          <t>15min</t>
        </is>
      </c>
      <c r="E8" s="8" t="n">
        <v>46044.02591435185</v>
      </c>
      <c r="F8" s="2" t="inlineStr">
        <is>
          <t>„Įgyvendinus struktūrinius pokyčius „Sirin Development“ įmonių akcijos buvo perleistos tiesiogiai tiems patiems galutiniams akcininkams tomis pačiomis proporcijomis.</t>
        </is>
      </c>
      <c r="G8" s="2" t="n">
        <v>1426746</v>
      </c>
      <c r="H8" s="2" t="n"/>
      <c r="I8" s="2" t="n"/>
      <c r="J8" s="2" t="n"/>
      <c r="K8" s="2" t="n"/>
      <c r="L8" s="2" t="inlineStr">
        <is>
          <t>Vilnius</t>
        </is>
      </c>
      <c r="M8" s="2" t="inlineStr">
        <is>
          <t>Vilniaus Apskritis</t>
        </is>
      </c>
      <c r="N8" s="2" t="inlineStr">
        <is>
          <t>Lithuania</t>
        </is>
      </c>
      <c r="O8" s="7" t="n">
        <v>13197.4</v>
      </c>
      <c r="P8" s="2" t="n">
        <v>74</v>
      </c>
      <c r="Q8" s="2" t="n"/>
    </row>
    <row r="9">
      <c r="A9" s="2" t="inlineStr">
        <is>
          <t>Nordic Real Estate Forum 2026</t>
        </is>
      </c>
      <c r="B9" s="2">
        <f>HYPERLINK("https://www.adaur.ee/nordic-real-estate-forum-2026-3/")</f>
        <v/>
      </c>
      <c r="C9" s="2" t="inlineStr"/>
      <c r="D9" s="2" t="inlineStr">
        <is>
          <t>adaur.ee</t>
        </is>
      </c>
      <c r="E9" s="8" t="n">
        <v>46043.34396990741</v>
      </c>
      <c r="F9" s="2" t="inlineStr">
        <is>
          <t>Olof Sundblad, CEO, Baltic Banking at Swedbank (main speaker)
PĂ€ivi Tomula, Pontos Group
Olavi Lepp, Swedbank
Roberto de Silvestri, Colonna Capital
GabrielÄ GegeviÄiĆ«tÄ, Capitalica Asset Management
Kristjan Tamla, EfTEN Capital
Madis Raidma, East Capital Real Estate
Laurynas Kuzavas, SIRIN</t>
        </is>
      </c>
      <c r="G9" s="2" t="n">
        <v>848</v>
      </c>
      <c r="H9" s="2" t="n">
        <v>0</v>
      </c>
      <c r="I9" s="2" t="n">
        <v>0</v>
      </c>
      <c r="J9" s="2" t="n">
        <v>0</v>
      </c>
      <c r="K9" s="2" t="inlineStr">
        <is>
          <t>Positive</t>
        </is>
      </c>
      <c r="L9" s="2" t="inlineStr">
        <is>
          <t>Tallinn</t>
        </is>
      </c>
      <c r="M9" s="2" t="inlineStr"/>
      <c r="N9" s="2" t="inlineStr">
        <is>
          <t>Estonia</t>
        </is>
      </c>
      <c r="O9" s="7" t="n">
        <v>7.84</v>
      </c>
      <c r="P9" s="2" t="n">
        <v>27</v>
      </c>
      <c r="Q9" s="2" t="n"/>
    </row>
    <row r="10">
      <c r="A10" s="2" t="inlineStr">
        <is>
          <t>Verslas, kuris augina Kauno rajoną: pagerbti ryškiausi metų lyderiai</t>
        </is>
      </c>
      <c r="B10" s="2">
        <f>HYPERLINK("https://kauno.diena.lt/naujienos/kaunas/miesto-pulsas/verslas-kuris-augina-kauno-rajona-pagerbti-ryskiausi-metu-lyderiai-1738061")</f>
        <v/>
      </c>
      <c r="C10" s="2" t="inlineStr"/>
      <c r="D10" s="2" t="inlineStr">
        <is>
          <t>Kauno diena</t>
        </is>
      </c>
      <c r="E10" s="8" t="n">
        <v>46041.25700231481</v>
      </c>
      <c r="F10" s="2" t="inlineStr">
        <is>
          <t>Įspūdingomis investicijomis pasižymėjo ir bendrovė „Sirin Development“, pelniusi nominaciją už verslo plėtrą.</t>
        </is>
      </c>
      <c r="G10" s="2" t="n">
        <v>341490</v>
      </c>
      <c r="H10" s="2" t="n">
        <v>0</v>
      </c>
      <c r="I10" s="2" t="n">
        <v>0</v>
      </c>
      <c r="J10" s="2" t="n">
        <v>0</v>
      </c>
      <c r="K10" s="2" t="n"/>
      <c r="L10" s="2" t="inlineStr">
        <is>
          <t>Kaunas</t>
        </is>
      </c>
      <c r="M10" s="2" t="inlineStr"/>
      <c r="N10" s="2" t="inlineStr">
        <is>
          <t>Lithuania</t>
        </is>
      </c>
      <c r="O10" s="7" t="n">
        <v>3158.78</v>
      </c>
      <c r="P10" s="2" t="n">
        <v>58</v>
      </c>
      <c r="Q10" s="2" t="n"/>
    </row>
    <row r="11">
      <c r="A11" s="2" t="inlineStr">
        <is>
          <t>Verslo centre „Hero“ - naujos nuomos sutartys su „Flo Health“ ir „Ebury Lietuva“</t>
        </is>
      </c>
      <c r="B11" s="2">
        <f>HYPERLINK("https://sc.bns.lt/view/item/verslo-centre-hero-naujos-nuomos-sutartys-su-flo-health-ir-ebury-lietuva-522277")</f>
        <v/>
      </c>
      <c r="C11" s="2" t="inlineStr"/>
      <c r="D11" s="2" t="inlineStr">
        <is>
          <t>Baltic News Service (Lithuania)</t>
        </is>
      </c>
      <c r="E11" s="8" t="n">
        <v>46037.47222222222</v>
      </c>
      <c r="F11" s="2" t="inlineStr">
        <is>
          <t>Čia patalpas jau yra išsinuomoję nekilnojamojo turto konsultacijų bendrovė „Colliers“ ir vienas didžiausių logistikos nekilnojamojo turto vystytojų Baltijos šalyse „Sirin Development“, technologijų įmonė „Wire Salad“, advokatų kontora „Cobalt“, ankstyvojo ugdymo mokykla „Eureka“, „Sapiegos klinikos“</t>
        </is>
      </c>
      <c r="G11" s="2" t="n">
        <v>32397</v>
      </c>
      <c r="H11" s="2" t="n">
        <v>0</v>
      </c>
      <c r="I11" s="2" t="n">
        <v>0</v>
      </c>
      <c r="J11" s="2" t="n">
        <v>0</v>
      </c>
      <c r="K11" s="2" t="n"/>
      <c r="L11" s="2" t="inlineStr">
        <is>
          <t>Vilnius</t>
        </is>
      </c>
      <c r="M11" s="2" t="inlineStr"/>
      <c r="N11" s="2" t="inlineStr">
        <is>
          <t>Lithuania</t>
        </is>
      </c>
      <c r="O11" s="7" t="n">
        <v>299.67</v>
      </c>
      <c r="P11" s="2" t="n">
        <v>55</v>
      </c>
      <c r="Q11" s="2" t="n"/>
    </row>
    <row r="12">
      <c r="A12" s="2" t="inlineStr">
        <is>
          <t>Verslo centre „Hero“ – naujos nuomos sutartys su „Flo Health“ ir „Ebury Lietuva“</t>
        </is>
      </c>
      <c r="B12" s="2">
        <f>HYPERLINK("https://www.elta.lt/lt/pranesimai-spaudai/verslo-centre-hero-naujos-nuomos-sutartys-su-flo-health-ir-ebury-lietuva-260872")</f>
        <v/>
      </c>
      <c r="C12" s="2" t="inlineStr"/>
      <c r="D12" s="2" t="inlineStr">
        <is>
          <t>elta.lt</t>
        </is>
      </c>
      <c r="E12" s="8" t="n">
        <v>46037</v>
      </c>
      <c r="F12" s="2" t="inlineStr">
        <is>
          <t>Čia patalpas jau yra išsinuomoję nekilnojamojo turto konsultacijų bendrovė „Colliers“ ir vienas didžiausių logistikos nekilnojamojo turto vystytojų Baltijos šalyse „Sirin Development“, technologijų įmonė „Wire Salad“, advokatų kontora „Cobalt“, ankstyvojo ugdymo mokykla „Eureka“, „Sapiegos klinikos“</t>
        </is>
      </c>
      <c r="G12" s="2" t="n">
        <v>9121</v>
      </c>
      <c r="H12" s="2" t="n">
        <v>0</v>
      </c>
      <c r="I12" s="2" t="n">
        <v>0</v>
      </c>
      <c r="J12" s="2" t="n">
        <v>0</v>
      </c>
      <c r="K12" s="2" t="n"/>
      <c r="L12" s="2" t="inlineStr"/>
      <c r="M12" s="2" t="inlineStr"/>
      <c r="N12" s="2" t="inlineStr">
        <is>
          <t>Lithuania</t>
        </is>
      </c>
      <c r="O12" s="7" t="n">
        <v>84.37</v>
      </c>
      <c r="P12" s="2" t="n">
        <v>44</v>
      </c>
      <c r="Q12" s="2" t="n"/>
    </row>
    <row r="13">
      <c r="A13" s="2" t="inlineStr">
        <is>
          <t>Nordic Real Estate Forum 2026</t>
        </is>
      </c>
      <c r="B13" s="2">
        <f>HYPERLINK("https://www.adaur.ee/nordic-real-estate-forum-2026-2/")</f>
        <v/>
      </c>
      <c r="C13" s="2" t="inlineStr"/>
      <c r="D13" s="2" t="inlineStr">
        <is>
          <t>adaur.ee</t>
        </is>
      </c>
      <c r="E13" s="8" t="n">
        <v>46035.39075231482</v>
      </c>
      <c r="F13" s="2" t="inlineStr">
        <is>
          <t>:
Olof Sundblad, CEO, Baltic Banking at Swedbank (main speaker)
PĂ€ivi Tomula, Pontos Group
Olavi Lepp, Swedbank
Roberto de Silvestri, Colonna Capital
GabrielÄ GegeviÄiĆ«tÄ, Capitalica Asset Management
Kristjan Tamla, EfTEN Capital
Madis Raidma, East Capital Real Estate
Laurynas Kuzavas, SIRIN</t>
        </is>
      </c>
      <c r="G13" s="2" t="n">
        <v>848</v>
      </c>
      <c r="H13" s="2" t="n">
        <v>0</v>
      </c>
      <c r="I13" s="2" t="n">
        <v>0</v>
      </c>
      <c r="J13" s="2" t="n">
        <v>0</v>
      </c>
      <c r="K13" s="2" t="inlineStr">
        <is>
          <t>Positive</t>
        </is>
      </c>
      <c r="L13" s="2" t="inlineStr">
        <is>
          <t>Tallinn</t>
        </is>
      </c>
      <c r="M13" s="2" t="inlineStr"/>
      <c r="N13" s="2" t="inlineStr">
        <is>
          <t>Estonia</t>
        </is>
      </c>
      <c r="O13" s="7" t="n">
        <v>7.84</v>
      </c>
      <c r="P13" s="2" t="n">
        <v>27</v>
      </c>
      <c r="Q13" s="2" t="n"/>
    </row>
    <row r="14">
      <c r="A14" s="2" t="inlineStr">
        <is>
          <t>Po Donaldo Trumpo ir neramumų metų pasaulis fejerverkais pasitiko 2026-uosius (papildytas)</t>
        </is>
      </c>
      <c r="B14" s="2">
        <f>HYPERLINK("https://bns.lt/naujiena/po-donaldo-trumpo-ir-neramumu-metu-pasaulis-fejerverkais-pasitiko-2026-uosius-papildytas-i5re4kmp")</f>
        <v/>
      </c>
      <c r="C14" s="2" t="inlineStr"/>
      <c r="D14" s="2" t="inlineStr">
        <is>
          <t>Baltic News Service (Lithuania)</t>
        </is>
      </c>
      <c r="E14" s="8" t="n">
        <v>46023</v>
      </c>
      <c r="F14" s="2" t="inlineStr">
        <is>
          <t>„Su 2025-aisiais atsisveikinome su giliu liūdesiu ir sielvartu“, – sakė Gazos miesto gyventoja Shireen Al-Kayali (Širin Kajali).
„Netekome daug žmonių ir savo turto. Mes gyvenome sunkų gyvenimą, buvome perkelti iš vieno miesto į kitą, bombarduojami ir gyvenome baimėje“, – pridūrė ji.</t>
        </is>
      </c>
      <c r="G14" s="2" t="n">
        <v>32397</v>
      </c>
      <c r="H14" s="2" t="n"/>
      <c r="I14" s="2" t="n"/>
      <c r="J14" s="2" t="n"/>
      <c r="K14" s="2" t="n"/>
      <c r="L14" s="2" t="inlineStr">
        <is>
          <t>Vilnius</t>
        </is>
      </c>
      <c r="M14" s="2" t="inlineStr"/>
      <c r="N14" s="2" t="inlineStr">
        <is>
          <t>Lithuania</t>
        </is>
      </c>
      <c r="O14" s="7" t="n">
        <v>299.67</v>
      </c>
      <c r="P14" s="2" t="n">
        <v>55</v>
      </c>
      <c r="Q14"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2026-02-18T13:12:31Z</dcterms:created>
  <dcterms:modified xmlns:dcterms="http://purl.org/dc/terms/" xmlns:xsi="http://www.w3.org/2001/XMLSchema-instance" xsi:type="dcterms:W3CDTF">2026-02-18T13:12:31Z</dcterms:modified>
</cp:coreProperties>
</file>