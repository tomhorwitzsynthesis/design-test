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quot;$&quot;#,##0.00_-"/>
    <numFmt numFmtId="166" formatCode="YYYY-mm-dd HH:MM:SS"/>
  </numFmts>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borders>
  <cellStyleXfs count="6">
    <xf numFmtId="0" fontId="0" fillId="0" borderId="0"/>
    <xf numFmtId="0" fontId="1" fillId="0" borderId="1"/>
    <xf numFmtId="0" fontId="2" fillId="0" borderId="1" applyAlignment="1">
      <alignment vertical="top" wrapText="1"/>
    </xf>
    <xf numFmtId="164" fontId="2" fillId="0" borderId="1" applyAlignment="1">
      <alignment vertical="top" wrapText="1"/>
    </xf>
    <xf numFmtId="165" fontId="2" fillId="0" borderId="1" applyAlignment="1">
      <alignment vertical="top" wrapText="1"/>
    </xf>
    <xf numFmtId="166" fontId="2" fillId="0" borderId="1" applyAlignment="1">
      <alignment vertical="top" wrapText="1"/>
    </xf>
  </cellStyleXfs>
  <cellXfs count="9">
    <xf numFmtId="0" fontId="0" fillId="0" borderId="0" pivotButton="0" quotePrefix="0" xfId="0"/>
    <xf numFmtId="0" fontId="1" fillId="0" borderId="1" pivotButton="0" quotePrefix="0" xfId="1"/>
    <xf numFmtId="0" fontId="2" fillId="0" borderId="1" applyAlignment="1" pivotButton="0" quotePrefix="0" xfId="2">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cellXfs>
  <cellStyles count="6">
    <cellStyle name="Normal" xfId="0" builtinId="0" hidden="0"/>
    <cellStyle name="mr_header" xfId="1" hidden="0"/>
    <cellStyle name="mr_normal" xfId="2" hidden="0"/>
    <cellStyle name="mr_date" xfId="3" hidden="0"/>
    <cellStyle name="mr_currency" xfId="4" hidden="0"/>
    <cellStyle name="mr_datetim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32" customWidth="1" min="2" max="2"/>
  </cols>
  <sheetData>
    <row r="1">
      <c r="A1" s="1" t="inlineStr">
        <is>
          <t>Report</t>
        </is>
      </c>
      <c r="B1" s="2" t="inlineStr">
        <is>
          <t>EIKA</t>
        </is>
      </c>
    </row>
    <row r="2">
      <c r="A2" s="1" t="inlineStr">
        <is>
          <t>URL</t>
        </is>
      </c>
      <c r="B2" s="2">
        <f>HYPERLINK("https://particle-agency.muckrack.com/coverage-reports/gnZt/edit/")</f>
        <v/>
      </c>
    </row>
    <row r="3">
      <c r="A3" s="1" t="inlineStr">
        <is>
          <t>Exported On</t>
        </is>
      </c>
      <c r="B3" s="6" t="n">
        <v>46071</v>
      </c>
    </row>
    <row r="4">
      <c r="A4" s="1" t="inlineStr">
        <is>
          <t>Generated By</t>
        </is>
      </c>
      <c r="B4" s="2" t="inlineStr">
        <is>
          <t>Ieva Mackeviciute</t>
        </is>
      </c>
    </row>
    <row r="6">
      <c r="A6" s="1" t="inlineStr">
        <is>
          <t>Links</t>
        </is>
      </c>
      <c r="B6" s="2" t="n">
        <v>59</v>
      </c>
    </row>
    <row r="7">
      <c r="A7" s="1" t="inlineStr">
        <is>
          <t>Total Engagement</t>
        </is>
      </c>
      <c r="B7" s="2" t="n">
        <v>169</v>
      </c>
    </row>
    <row r="8">
      <c r="A8" s="1" t="inlineStr">
        <is>
          <t>Average Engagement</t>
        </is>
      </c>
      <c r="B8" s="2" t="n">
        <v>2</v>
      </c>
    </row>
    <row r="9">
      <c r="A9" s="1" t="inlineStr">
        <is>
          <t>Total UVM (Insights by Similarweb)</t>
        </is>
      </c>
      <c r="B9" s="2" t="n">
        <v>38348330</v>
      </c>
    </row>
    <row r="10">
      <c r="A10" s="1" t="inlineStr">
        <is>
          <t>Total AVE</t>
        </is>
      </c>
      <c r="B10" s="7" t="n">
        <v>290843.02</v>
      </c>
    </row>
    <row r="11">
      <c r="A11" s="1" t="inlineStr">
        <is>
          <t>Total Journalist Shares</t>
        </is>
      </c>
      <c r="B11" s="2" t="n">
        <v>0</v>
      </c>
    </row>
    <row r="12">
      <c r="A12" s="1" t="inlineStr">
        <is>
          <t>Total Journalist Reach</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cols>
    <col width="48" customWidth="1" min="1" max="1"/>
    <col width="32" customWidth="1" min="2" max="2"/>
    <col width="24" customWidth="1" min="3" max="3"/>
    <col width="24" customWidth="1" min="4" max="4"/>
    <col width="19" customWidth="1" min="5" max="5"/>
    <col width="48" customWidth="1" min="6" max="6"/>
    <col width="28" customWidth="1" min="7" max="7"/>
    <col width="17" customWidth="1" min="8" max="8"/>
    <col width="16" customWidth="1" min="9" max="9"/>
    <col width="16" customWidth="1" min="10" max="10"/>
    <col width="13" customWidth="1" min="11" max="11"/>
    <col width="17" customWidth="1" min="12" max="12"/>
    <col width="19" customWidth="1" min="13" max="13"/>
    <col width="24" customWidth="1" min="14" max="14"/>
    <col width="29" customWidth="1" min="15" max="15"/>
    <col width="34" customWidth="1" min="16" max="16"/>
    <col width="24" customWidth="1" min="17" max="17"/>
  </cols>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row>
    <row r="2">
      <c r="A2" s="2" t="inlineStr">
        <is>
          <t>„EIKA Group“ stiprina vadovų komandą: operacijų vadovo pareigas pradeda eiti Antanas Šegžda</t>
        </is>
      </c>
      <c r="B2" s="2">
        <f>HYPERLINK("https://sc.bns.lt/view/item/eika-group-stiprina-vadovu-komanda-operaciju-vadovo-pareigas-pradeda-eiti-antanas-segzda-523099")</f>
        <v/>
      </c>
      <c r="C2" s="2" t="inlineStr"/>
      <c r="D2" s="2" t="inlineStr">
        <is>
          <t>Baltic News Service (Lithuania)</t>
        </is>
      </c>
      <c r="E2" s="8" t="n">
        <v>46052.33333333334</v>
      </c>
      <c r="F2" s="2" t="inlineStr">
        <is>
          <t>Sparčiai augant „EIKA Group“ veiklos apimtims Lietuvoje ir užsienio rinkose, grupė stiprina vadovų komandą. Prie „EIKA Group“ prisijungė ilgametę vadovavimo patirtį turintis Antanas Šegžda, kuris pradėjo eiti operacijų vadovo (COO) pareigas.</t>
        </is>
      </c>
      <c r="G2" s="2" t="n">
        <v>32397</v>
      </c>
      <c r="H2" s="2" t="n">
        <v>0</v>
      </c>
      <c r="I2" s="2" t="n">
        <v>0</v>
      </c>
      <c r="J2" s="2" t="n">
        <v>0</v>
      </c>
      <c r="K2" s="2" t="n"/>
      <c r="L2" s="2" t="inlineStr">
        <is>
          <t>Vilnius</t>
        </is>
      </c>
      <c r="M2" s="2" t="inlineStr"/>
      <c r="N2" s="2" t="inlineStr">
        <is>
          <t>Lithuania</t>
        </is>
      </c>
      <c r="O2" s="7" t="n">
        <v>299.67</v>
      </c>
      <c r="P2" s="2" t="n">
        <v>55</v>
      </c>
      <c r="Q2" s="2" t="n"/>
    </row>
    <row r="3">
      <c r="A3" s="2" t="inlineStr">
        <is>
          <t>Kalnėnuose prasideda vienas didžiausių gyvenamųjų namų projektų</t>
        </is>
      </c>
      <c r="B3" s="2">
        <f>HYPERLINK("https://madeinvilnius.lt/verslas/nekilnojamas-turtas/kalnenuose-prasideda-vienas-didziausiu-gyvenamuju-namu-projektu/")</f>
        <v/>
      </c>
      <c r="C3" s="2" t="inlineStr">
        <is>
          <t>Pranešimas spaudai</t>
        </is>
      </c>
      <c r="D3" s="2" t="inlineStr">
        <is>
          <t>madeinvilnius.lt</t>
        </is>
      </c>
      <c r="E3" s="8" t="n">
        <v>46052.16666666666</v>
      </c>
      <c r="F3" s="2" t="inlineStr">
        <is>
          <t>„EIKA Asset Management“ (EAM) valdomas uždarojo tipo fondas „KŪB Partnership Fund II“ pradeda aktyvią investicinę fazę – šiais metais pradedamas gyvenamosios paskirties projekto Kalnėnuose įgyvendinimas. Į šį projektą fondas investuos daugiau nei 60 mln. eurų.</t>
        </is>
      </c>
      <c r="G3" s="2" t="n">
        <v>349239</v>
      </c>
      <c r="H3" s="2" t="n">
        <v>0</v>
      </c>
      <c r="I3" s="2" t="n">
        <v>0</v>
      </c>
      <c r="J3" s="2" t="n">
        <v>7</v>
      </c>
      <c r="K3" s="2" t="n"/>
      <c r="L3" s="2" t="inlineStr"/>
      <c r="M3" s="2" t="inlineStr"/>
      <c r="N3" s="2" t="inlineStr">
        <is>
          <t>Lithuania</t>
        </is>
      </c>
      <c r="O3" s="7" t="n">
        <v>3230.46</v>
      </c>
      <c r="P3" s="2" t="n">
        <v>35</v>
      </c>
      <c r="Q3" s="2" t="n"/>
    </row>
    <row r="4">
      <c r="A4" s="2" t="inlineStr">
        <is>
          <t>Paskelbta apie dar vieno gyvenamojo kvartalo Vilniuje statybas - su visais privalumais</t>
        </is>
      </c>
      <c r="B4" s="2">
        <f>HYPERLINK("https://www.lrytas.lt/bustas/nekilnojamasis-turtas/2026/01/30/news/paskelbta-apie-dar-vieno-gyvenamojo-kvartalo-vilniuje-statybas-su-visais-privalumais-41145485")</f>
        <v/>
      </c>
      <c r="C4" s="2" t="inlineStr"/>
      <c r="D4" s="2" t="inlineStr">
        <is>
          <t>lrytas.lt</t>
        </is>
      </c>
      <c r="E4" s="8" t="n">
        <v>46052.07877314815</v>
      </c>
      <c r="F4" s="2" t="inlineStr">
        <is>
          <t>„EIKA Asset Management“ (EAM) valdomas uždarojo tipo fondas „KŪB Partnership Fund II“ pradeda daugiau nei 60 mln. eurų vertės gyvenamojo kvartalo projekto įgyvendinimą Vilniaus Kalnėnų rajone.
„Šis projektas prisidės prie pietinės Vilniaus dalies plėtros.</t>
        </is>
      </c>
      <c r="G4" s="2" t="n">
        <v>1072624</v>
      </c>
      <c r="H4" s="2" t="n">
        <v>0</v>
      </c>
      <c r="I4" s="2" t="n">
        <v>0</v>
      </c>
      <c r="J4" s="2" t="n">
        <v>0</v>
      </c>
      <c r="K4" s="2" t="n"/>
      <c r="L4" s="2" t="inlineStr"/>
      <c r="M4" s="2" t="inlineStr"/>
      <c r="N4" s="2" t="inlineStr">
        <is>
          <t>Lithuania</t>
        </is>
      </c>
      <c r="O4" s="7" t="n">
        <v>9921.77</v>
      </c>
      <c r="P4" s="2" t="n">
        <v>70</v>
      </c>
      <c r="Q4" s="2" t="n"/>
    </row>
    <row r="5">
      <c r="A5" s="2" t="inlineStr">
        <is>
          <t>„EIKA Group“ stiprina vadovų komandą: operacijų vadovo pareigas pradeda eiti Antanas Šegžda</t>
        </is>
      </c>
      <c r="B5" s="2">
        <f>HYPERLINK("https://www.15min.lt/verslas/naujiena/bns-spaudos-centras/eika-group-stiprina-vadovu-komanda-operaciju-vadovo-pareigas-pradeda-eiti-antanas-segzda-523099")</f>
        <v/>
      </c>
      <c r="C5" s="2" t="inlineStr"/>
      <c r="D5" s="2" t="inlineStr">
        <is>
          <t>15min</t>
        </is>
      </c>
      <c r="E5" s="8" t="n">
        <v>46052.07144675926</v>
      </c>
      <c r="F5" s="2" t="inlineStr">
        <is>
          <t>Pasak jo, priimant sprendimą jungtis prie „EIKA Group“ vadovų komandos itin svarbus buvo sutampančių vertybių aspektas: „Esame orientuoti ne tik į verslo augimą, bet ir į tai, kaip tą augimą pasiekiame.</t>
        </is>
      </c>
      <c r="G5" s="2" t="n">
        <v>1426746</v>
      </c>
      <c r="H5" s="2" t="n">
        <v>0</v>
      </c>
      <c r="I5" s="2" t="n">
        <v>0</v>
      </c>
      <c r="J5" s="2" t="n">
        <v>0</v>
      </c>
      <c r="K5" s="2" t="n"/>
      <c r="L5" s="2" t="inlineStr">
        <is>
          <t>Vilnius</t>
        </is>
      </c>
      <c r="M5" s="2" t="inlineStr">
        <is>
          <t>Vilniaus Apskritis</t>
        </is>
      </c>
      <c r="N5" s="2" t="inlineStr">
        <is>
          <t>Lithuania</t>
        </is>
      </c>
      <c r="O5" s="7" t="n">
        <v>13197.4</v>
      </c>
      <c r="P5" s="2" t="n">
        <v>74</v>
      </c>
      <c r="Q5" s="2" t="n"/>
    </row>
    <row r="6">
      <c r="A6" s="2" t="inlineStr">
        <is>
          <t>„EIKA Group“ stiprina vadovų komandą: operacijų vadovo pareigas pradeda eiti Antanas Šegžda</t>
        </is>
      </c>
      <c r="B6" s="2">
        <f>HYPERLINK("https://www.elta.lt/lt/pranesimai-spaudai/eika-group-stiprina-vadovu-komanda-operaciju-vadovo-pareigas-pradeda-eiti-antanas-segzda-261195")</f>
        <v/>
      </c>
      <c r="C6" s="2" t="inlineStr"/>
      <c r="D6" s="2" t="inlineStr">
        <is>
          <t>elta.lt</t>
        </is>
      </c>
      <c r="E6" s="8" t="n">
        <v>46052</v>
      </c>
      <c r="F6" s="2" t="inlineStr">
        <is>
          <t>Sparčiai augant „EIKA Group“ veiklos apimtims Lietuvoje ir užsienio rinkose, grupė stiprina vadovų komandą. Prie „EIKA Group“ prisijungė ilgametę vadovavimo patirtį turintis Antanas Šegžda, kuris pradėjo eiti operacijų vadovo (COO) pareigas.</t>
        </is>
      </c>
      <c r="G6" s="2" t="n">
        <v>9121</v>
      </c>
      <c r="H6" s="2" t="n">
        <v>0</v>
      </c>
      <c r="I6" s="2" t="n">
        <v>0</v>
      </c>
      <c r="J6" s="2" t="n">
        <v>0</v>
      </c>
      <c r="K6" s="2" t="n"/>
      <c r="L6" s="2" t="inlineStr"/>
      <c r="M6" s="2" t="inlineStr"/>
      <c r="N6" s="2" t="inlineStr">
        <is>
          <t>Lithuania</t>
        </is>
      </c>
      <c r="O6" s="7" t="n">
        <v>84.37</v>
      </c>
      <c r="P6" s="2" t="n">
        <v>44</v>
      </c>
      <c r="Q6" s="2" t="n"/>
    </row>
    <row r="7">
      <c r="A7" s="2" t="inlineStr">
        <is>
          <t>Sostinėje pradedamas daugiau nei 60 mln. eurų vertės gyvenamojo kvartalo projektas</t>
        </is>
      </c>
      <c r="B7" s="2">
        <f>HYPERLINK("https://www.delfi.lt/projektai/elta/sostineje-pradedamas-daugiau-nei-60-mln-euru-vertes-gyvenamojo-kvartalo-projektas-120205077")</f>
        <v/>
      </c>
      <c r="C7" s="2" t="inlineStr"/>
      <c r="D7" s="2" t="inlineStr">
        <is>
          <t>DELFI Lithuania</t>
        </is>
      </c>
      <c r="E7" s="8" t="n">
        <v>46051.35550925926</v>
      </c>
      <c r="F7" s="2" t="inlineStr">
        <is>
          <t>Projekto statybų ir pardavimų valdymą vykdys nekilnojamojo turto projektų valdymo bendrovė „EIKA Development“.
„KŪB Partnership Fund II“ yra septintasis EAM įsteigtas fondas, kurio pagrindinė investavimo kryptis – daugiabučių gyvenamųjų projektų plėtra Vilniuje.
EAM veikia nuo 2016 m.</t>
        </is>
      </c>
      <c r="G7" s="2" t="n">
        <v>1878795</v>
      </c>
      <c r="H7" s="2" t="n">
        <v>0</v>
      </c>
      <c r="I7" s="2" t="n">
        <v>0</v>
      </c>
      <c r="J7" s="2" t="n">
        <v>34</v>
      </c>
      <c r="K7" s="2" t="n"/>
      <c r="L7" s="2" t="inlineStr">
        <is>
          <t>Vilnius</t>
        </is>
      </c>
      <c r="M7" s="2" t="inlineStr"/>
      <c r="N7" s="2" t="inlineStr">
        <is>
          <t>Lithuania</t>
        </is>
      </c>
      <c r="O7" s="7" t="n">
        <v>9393.98</v>
      </c>
      <c r="P7" s="2" t="n">
        <v>81</v>
      </c>
      <c r="Q7" s="2" t="n"/>
    </row>
    <row r="8">
      <c r="A8" s="2" t="inlineStr">
        <is>
          <t>Vilniuje pradedamas daugiau nei 60 mln. eurų vertės gyvenamasis projektas</t>
        </is>
      </c>
      <c r="B8" s="2">
        <f>HYPERLINK("https://www.15min.lt/verslas/naujiena/nt-ir-interjeras/vilniuje-pradedamas-daugiau-nei-60-mln-euru-vertes-gyvenamasis-projektas-971-2610942")</f>
        <v/>
      </c>
      <c r="C8" s="2" t="inlineStr"/>
      <c r="D8" s="2" t="inlineStr">
        <is>
          <t>15min</t>
        </is>
      </c>
      <c r="E8" s="8" t="n">
        <v>46051.07487268518</v>
      </c>
      <c r="F8" s="2" t="inlineStr">
        <is>
          <t>Šio projekto valdymas – statybos ir pardavimai – patikėti nekilnojamojo turto projektų valdymo bendrovei „EIKA Development“.
„Šis projektas prisidės prie pietinės Vilniaus dalies plėtros.</t>
        </is>
      </c>
      <c r="G8" s="2" t="n">
        <v>1426746</v>
      </c>
      <c r="H8" s="2" t="n">
        <v>0</v>
      </c>
      <c r="I8" s="2" t="n">
        <v>0</v>
      </c>
      <c r="J8" s="2" t="n">
        <v>0</v>
      </c>
      <c r="K8" s="2" t="n"/>
      <c r="L8" s="2" t="inlineStr">
        <is>
          <t>Vilnius</t>
        </is>
      </c>
      <c r="M8" s="2" t="inlineStr">
        <is>
          <t>Vilniaus Apskritis</t>
        </is>
      </c>
      <c r="N8" s="2" t="inlineStr">
        <is>
          <t>Lithuania</t>
        </is>
      </c>
      <c r="O8" s="7" t="n">
        <v>13197.4</v>
      </c>
      <c r="P8" s="2" t="n">
        <v>74</v>
      </c>
      <c r="Q8" s="2" t="n"/>
    </row>
    <row r="9">
      <c r="A9" s="2" t="inlineStr">
        <is>
          <t>„EIKA Asset Management“ aktyvina investicijas Vilniuje – plėtos gyvenamųjų namų projektą Kalnėnuose</t>
        </is>
      </c>
      <c r="B9" s="2">
        <f>HYPERLINK("https://www.elta.lt/lt/pranesimai-spaudai/eika-asset-management-aktyvina-investicijas-vilniuje-pletos-gyvenamuju-namu-projekta-kalnenuose-261161")</f>
        <v/>
      </c>
      <c r="C9" s="2" t="inlineStr"/>
      <c r="D9" s="2" t="inlineStr">
        <is>
          <t>elta.lt</t>
        </is>
      </c>
      <c r="E9" s="8" t="n">
        <v>46051</v>
      </c>
      <c r="F9" s="2" t="inlineStr">
        <is>
          <t>„EIKA Asset Management“ (EAM) valdomas uždarojo tipo fondas „KŪB Partnership Fund II“ pradeda aktyvią investicinę fazę – šiais metais pradedamas gyvenamosios paskirties projekto Kalnėnuose įgyvendinimas. Į šį projektą fondas investuos daugiau nei 60 mln. eurų.</t>
        </is>
      </c>
      <c r="G9" s="2" t="n">
        <v>9121</v>
      </c>
      <c r="H9" s="2" t="n">
        <v>0</v>
      </c>
      <c r="I9" s="2" t="n">
        <v>0</v>
      </c>
      <c r="J9" s="2" t="n">
        <v>0</v>
      </c>
      <c r="K9" s="2" t="n"/>
      <c r="L9" s="2" t="inlineStr"/>
      <c r="M9" s="2" t="inlineStr"/>
      <c r="N9" s="2" t="inlineStr">
        <is>
          <t>Lithuania</t>
        </is>
      </c>
      <c r="O9" s="7" t="n">
        <v>84.37</v>
      </c>
      <c r="P9" s="2" t="n">
        <v>44</v>
      </c>
      <c r="Q9" s="2" t="n"/>
    </row>
    <row r="10">
      <c r="A10" s="2" t="inlineStr">
        <is>
          <t>Statybunaujienos.lt - Pirmieji Baltijos šalyse: viešojo sektoriaus ugdymo pastatai sertifikuoti „BREEAM In-Use“</t>
        </is>
      </c>
      <c r="B10" s="2">
        <f>HYPERLINK("https://www.statybunaujienos.lt/naujiena/Pirmieji-Baltijos-salyse-viesojo-sektoriaus-ugdymo-pastatai-sertifikuoti-BREEAM-In-Use/25992")</f>
        <v/>
      </c>
      <c r="C10" s="2" t="inlineStr"/>
      <c r="D10" s="2" t="inlineStr">
        <is>
          <t>statybunaujienos.lt</t>
        </is>
      </c>
      <c r="E10" s="8" t="n">
        <v>46050.1646412037</v>
      </c>
      <c r="F10" s="2" t="inlineStr">
        <is>
          <t>„EIKA Development“ vystytas ir valdomas projektas papildo miesto verslo infrastruktūrą šiuol...
2026-01-22 13:30
Vilniaus miesto savivaldybė išdavė statybą leidžiantį dokumentą „Vyturio“ pradinei mokyklai, esančiai Taikos g. 189, rekonstruoti.</t>
        </is>
      </c>
      <c r="G10" s="2" t="n">
        <v>5370</v>
      </c>
      <c r="H10" s="2" t="n">
        <v>0</v>
      </c>
      <c r="I10" s="2" t="n">
        <v>0</v>
      </c>
      <c r="J10" s="2" t="n">
        <v>0</v>
      </c>
      <c r="K10" s="2" t="n"/>
      <c r="L10" s="2" t="inlineStr"/>
      <c r="M10" s="2" t="inlineStr"/>
      <c r="N10" s="2" t="inlineStr">
        <is>
          <t>Lithuania</t>
        </is>
      </c>
      <c r="O10" s="7" t="n">
        <v>49.67</v>
      </c>
      <c r="P10" s="2" t="n">
        <v>27</v>
      </c>
      <c r="Q10" s="2" t="n"/>
    </row>
    <row r="11">
      <c r="A11" s="2" t="inlineStr">
        <is>
          <t>Statybunaujienos.lt - „Skulas“ investuoja į išmaniųjų verslo parkų plėtrą Šiauliuose – siūlys 61 modernią komercinę patalpą</t>
        </is>
      </c>
      <c r="B11" s="2">
        <f>HYPERLINK("https://www.statybunaujienos.lt/naujiena/Skulas-investuoja-i-ismaniuju-verslo-parku-pletra-Siauliuose-siulys-61-modernia-komercine-patalpa/25986")</f>
        <v/>
      </c>
      <c r="C11" s="2" t="inlineStr"/>
      <c r="D11" s="2" t="inlineStr">
        <is>
          <t>statybunaujienos.lt</t>
        </is>
      </c>
      <c r="E11" s="8" t="n">
        <v>46049.17555555556</v>
      </c>
      <c r="F11" s="2" t="inlineStr">
        <is>
          <t>„EIKA Development“ vystytas ir valdomas projektas papildo miesto verslo infrastruktūrą šiuol...
2026-01-22 13:30
Vilniaus miesto savivaldybė išdavė statybą leidžiantį dokumentą „Vyturio“ pradinei mokyklai, esančiai Taikos g. 189, rekonstruoti.</t>
        </is>
      </c>
      <c r="G11" s="2" t="n">
        <v>5370</v>
      </c>
      <c r="H11" s="2" t="n">
        <v>0</v>
      </c>
      <c r="I11" s="2" t="n">
        <v>0</v>
      </c>
      <c r="J11" s="2" t="n">
        <v>0</v>
      </c>
      <c r="K11" s="2" t="n"/>
      <c r="L11" s="2" t="inlineStr"/>
      <c r="M11" s="2" t="inlineStr"/>
      <c r="N11" s="2" t="inlineStr">
        <is>
          <t>Lithuania</t>
        </is>
      </c>
      <c r="O11" s="7" t="n">
        <v>49.67</v>
      </c>
      <c r="P11" s="2" t="n">
        <v>27</v>
      </c>
      <c r="Q11" s="2" t="n"/>
    </row>
    <row r="12">
      <c r="A12" s="2" t="inlineStr">
        <is>
          <t>Statybunaujienos.lt - „Akola group“ planuoja 34 mln. eurų investiciją Kaišiadoryse: nauja šalutinių gyvūninių produktų perdirbimo gamykla</t>
        </is>
      </c>
      <c r="B12" s="2">
        <f>HYPERLINK("https://www.statybunaujienos.lt/naujiena/Akola-group-planuoja-34-mln-euru-investicija-Kaisiadoryse-nauja-salutiniu-gyvuniniu-produktu-perdirbimo-gamykla/25982")</f>
        <v/>
      </c>
      <c r="C12" s="2" t="inlineStr"/>
      <c r="D12" s="2" t="inlineStr">
        <is>
          <t>statybunaujienos.lt</t>
        </is>
      </c>
      <c r="E12" s="8" t="n">
        <v>46049.07815972222</v>
      </c>
      <c r="F12" s="2" t="inlineStr">
        <is>
          <t>„EIKA Development“ vystytas ir valdomas projektas papildo miesto verslo infrastruktūrą šiuol...
2026-01-22 13:30
Vilniaus miesto savivaldybė išdavė statybą leidžiantį dokumentą „Vyturio“ pradinei mokyklai, esančiai Taikos g. 189, rekonstruoti.</t>
        </is>
      </c>
      <c r="G12" s="2" t="n">
        <v>5370</v>
      </c>
      <c r="H12" s="2" t="n">
        <v>0</v>
      </c>
      <c r="I12" s="2" t="n">
        <v>0</v>
      </c>
      <c r="J12" s="2" t="n">
        <v>0</v>
      </c>
      <c r="K12" s="2" t="n"/>
      <c r="L12" s="2" t="inlineStr"/>
      <c r="M12" s="2" t="inlineStr"/>
      <c r="N12" s="2" t="inlineStr">
        <is>
          <t>Lithuania</t>
        </is>
      </c>
      <c r="O12" s="7" t="n">
        <v>49.67</v>
      </c>
      <c r="P12" s="2" t="n">
        <v>27</v>
      </c>
      <c r="Q12" s="2" t="n"/>
    </row>
    <row r="13">
      <c r="A13" s="2" t="inlineStr">
        <is>
          <t>Istorinėje miesto vietoje oficialiai atidarytas naujas verslo centras</t>
        </is>
      </c>
      <c r="B13" s="2">
        <f>HYPERLINK("https://madeinvilnius.lt/orai-vilniuje/istorineje-miesto-vietoje-oficialiai-atidarytas-naujas-verslo-centras/")</f>
        <v/>
      </c>
      <c r="C13" s="2" t="inlineStr"/>
      <c r="D13" s="2" t="inlineStr">
        <is>
          <t>madeinvilnius.lt</t>
        </is>
      </c>
      <c r="E13" s="8" t="n">
        <v>46048.10416666666</v>
      </c>
      <c r="F13" s="2" t="inlineStr">
        <is>
          <t>„EIKA Group“ generalinis direktorius Domas Dargis džiaugėsi, kad šioje istorine aura apgaubtoje miesto vietoje pavyko ne tik sukurti modernų verslo centrą, bet ir pagerbti vietos architektūrinį kontekstą bei miesto atmintį.</t>
        </is>
      </c>
      <c r="G13" s="2" t="n">
        <v>349239</v>
      </c>
      <c r="H13" s="2" t="n">
        <v>0</v>
      </c>
      <c r="I13" s="2" t="n">
        <v>0</v>
      </c>
      <c r="J13" s="2" t="n">
        <v>9</v>
      </c>
      <c r="K13" s="2" t="n"/>
      <c r="L13" s="2" t="inlineStr"/>
      <c r="M13" s="2" t="inlineStr"/>
      <c r="N13" s="2" t="inlineStr">
        <is>
          <t>Lithuania</t>
        </is>
      </c>
      <c r="O13" s="7" t="n">
        <v>3230.46</v>
      </c>
      <c r="P13" s="2" t="n">
        <v>35</v>
      </c>
      <c r="Q13" s="2" t="n"/>
    </row>
    <row r="14">
      <c r="A14" s="2" t="inlineStr">
        <is>
          <t>Vilniuje atidarytas naujas verslo centras „Jasinskio2“</t>
        </is>
      </c>
      <c r="B14" s="2">
        <f>HYPERLINK("https://www.delfi.lt/projektai/elta/vilniuje-atidarytas-naujas-verslo-centras-jasinskio2-120202446")</f>
        <v/>
      </c>
      <c r="C14" s="2" t="inlineStr"/>
      <c r="D14" s="2" t="inlineStr">
        <is>
          <t>DELFI Lithuania</t>
        </is>
      </c>
      <c r="E14" s="8" t="n">
        <v>46045.31839120371</v>
      </c>
      <c r="F14" s="2" t="inlineStr">
        <is>
          <t>„Tai yra natūrali mūsų ankstesnių projektų Vilniaus centre tąsa, kartu papildanti miesto verslo ekosistemą tvaria, inovatyvia ir ilgalaike verte“, – teigia „EIKA Group“ generalinis direktorius Domas Dargis.</t>
        </is>
      </c>
      <c r="G14" s="2" t="n">
        <v>1878795</v>
      </c>
      <c r="H14" s="2" t="n">
        <v>0</v>
      </c>
      <c r="I14" s="2" t="n">
        <v>0</v>
      </c>
      <c r="J14" s="2" t="n">
        <v>0</v>
      </c>
      <c r="K14" s="2" t="n"/>
      <c r="L14" s="2" t="inlineStr">
        <is>
          <t>Vilnius</t>
        </is>
      </c>
      <c r="M14" s="2" t="inlineStr"/>
      <c r="N14" s="2" t="inlineStr">
        <is>
          <t>Lithuania</t>
        </is>
      </c>
      <c r="O14" s="7" t="n">
        <v>9393.98</v>
      </c>
      <c r="P14" s="2" t="n">
        <v>81</v>
      </c>
      <c r="Q14" s="2" t="n"/>
    </row>
    <row r="15">
      <c r="A15" s="2" t="inlineStr">
        <is>
          <t>Suomija - Statybos darbai - Rautatieaseman peruskorjaus: Pohjois-Haaga</t>
        </is>
      </c>
      <c r="B15" s="2">
        <f>HYPERLINK("https://lrvalstybe.lt/es-nato-pirkimai/4790277")</f>
        <v/>
      </c>
      <c r="C15" s="2" t="inlineStr"/>
      <c r="D15" s="2" t="inlineStr">
        <is>
          <t>lrvalstybe.lt</t>
        </is>
      </c>
      <c r="E15" s="8" t="n">
        <v>46045.15565972222</v>
      </c>
      <c r="F15" s="2" t="inlineStr">
        <is>
          <t>HUOM:
Yhteisnäyttötilaisuuden yhteydessä EI voi esittää kysymyksiä EIKÄ mahdollisiin kysymyksiin anneta vastauksia. Kaikki kysymykset kohteeseen ja tarjouspyyntöaineistoon liittyen tulee esittää Tarjouspalvelu.fi -portaalin kautta.</t>
        </is>
      </c>
      <c r="G15" s="2" t="n">
        <v>64270</v>
      </c>
      <c r="H15" s="2" t="n">
        <v>0</v>
      </c>
      <c r="I15" s="2" t="n">
        <v>0</v>
      </c>
      <c r="J15" s="2" t="n">
        <v>0</v>
      </c>
      <c r="K15" s="2" t="n"/>
      <c r="L15" s="2" t="inlineStr"/>
      <c r="M15" s="2" t="inlineStr"/>
      <c r="N15" s="2" t="inlineStr">
        <is>
          <t>Lithuania</t>
        </is>
      </c>
      <c r="O15" s="7" t="n">
        <v>594.5</v>
      </c>
      <c r="P15" s="2" t="n">
        <v>35</v>
      </c>
      <c r="Q15" s="2" t="n"/>
    </row>
    <row r="16">
      <c r="A16" s="2" t="inlineStr">
        <is>
          <t>Nauja verslo erdvė sostinėje - istorinėje miesto vietoje oficialiai atidarytas „Jasinskio2“ verslo centras</t>
        </is>
      </c>
      <c r="B16" s="2">
        <f>HYPERLINK("https://sc.bns.lt/view/item/nauja-verslo-erdve-sostineje-istorineje-miesto-vietoje-oficialiai-atidarytas-jasinskio2-verslo-centras-522709")</f>
        <v/>
      </c>
      <c r="C16" s="2" t="inlineStr"/>
      <c r="D16" s="2" t="inlineStr">
        <is>
          <t>Baltic News Service (Lithuania)</t>
        </is>
      </c>
      <c r="E16" s="8" t="n">
        <v>46045.11496527777</v>
      </c>
      <c r="F16" s="2" t="inlineStr">
        <is>
          <t>„EIKA Group“ generalinis direktorius Domas Dargis džiaugėsi, kad šioje istorine aura apgaubtoje miesto vietoje pavyko ne tik sukurti modernų verslo centrą, bet ir pagerbti vietos architektūrinį kontekstą bei miesto atmintį.</t>
        </is>
      </c>
      <c r="G16" s="2" t="n">
        <v>32397</v>
      </c>
      <c r="H16" s="2" t="n">
        <v>0</v>
      </c>
      <c r="I16" s="2" t="n">
        <v>0</v>
      </c>
      <c r="J16" s="2" t="n">
        <v>0</v>
      </c>
      <c r="K16" s="2" t="n"/>
      <c r="L16" s="2" t="inlineStr">
        <is>
          <t>Vilnius</t>
        </is>
      </c>
      <c r="M16" s="2" t="inlineStr"/>
      <c r="N16" s="2" t="inlineStr">
        <is>
          <t>Lithuania</t>
        </is>
      </c>
      <c r="O16" s="7" t="n">
        <v>299.67</v>
      </c>
      <c r="P16" s="2" t="n">
        <v>55</v>
      </c>
      <c r="Q16" s="2" t="n"/>
    </row>
    <row r="17">
      <c r="A17" s="2" t="inlineStr">
        <is>
          <t>Istorinėje Vilniaus vietoje atidarytas naujas verslo centras</t>
        </is>
      </c>
      <c r="B17" s="2">
        <f>HYPERLINK("https://www.15min.lt/verslas/naujiena/nt-ir-interjeras/istorineje-vilniaus-vietoje-atidarytas-naujas-verslo-centras-971-2607176")</f>
        <v/>
      </c>
      <c r="C17" s="2" t="inlineStr"/>
      <c r="D17" s="2" t="inlineStr">
        <is>
          <t>15min</t>
        </is>
      </c>
      <c r="E17" s="8" t="n">
        <v>46045.08702546296</v>
      </c>
      <c r="F17" s="2" t="inlineStr">
        <is>
          <t>Su „EIKA Group“ susijusios įmonės „Aurochs investments“ investicijos į šią verslo erdvę siekė daugiau nei 34 mln. eurų. „Jasinskio2“ pastatą plėtojo ir valdo nekilnojamojo turto projektų valdymo įmonė „EIKA Development“.</t>
        </is>
      </c>
      <c r="G17" s="2" t="n">
        <v>1426746</v>
      </c>
      <c r="H17" s="2" t="n">
        <v>0</v>
      </c>
      <c r="I17" s="2" t="n">
        <v>0</v>
      </c>
      <c r="J17" s="2" t="n">
        <v>0</v>
      </c>
      <c r="K17" s="2" t="n"/>
      <c r="L17" s="2" t="inlineStr">
        <is>
          <t>Vilnius</t>
        </is>
      </c>
      <c r="M17" s="2" t="inlineStr">
        <is>
          <t>Vilniaus Apskritis</t>
        </is>
      </c>
      <c r="N17" s="2" t="inlineStr">
        <is>
          <t>Lithuania</t>
        </is>
      </c>
      <c r="O17" s="7" t="n">
        <v>13197.4</v>
      </c>
      <c r="P17" s="2" t="n">
        <v>74</v>
      </c>
      <c r="Q17" s="2" t="n"/>
    </row>
    <row r="18">
      <c r="A18" s="2" t="inlineStr">
        <is>
          <t>Nauja verslo erdvė sostinėje – istorinėje miesto vietoje oficialiai atidarytas „Jasinskio2“ verslo centras</t>
        </is>
      </c>
      <c r="B18" s="2">
        <f>HYPERLINK("https://www.elta.lt/lt/pranesimai-spaudai/nauja-verslo-erdve-sostineje-istorineje-miesto-vietoje-oficialiai-atidarytas-jasinskio2-verslo-centras-261040")</f>
        <v/>
      </c>
      <c r="C18" s="2" t="inlineStr"/>
      <c r="D18" s="2" t="inlineStr">
        <is>
          <t>elta.lt</t>
        </is>
      </c>
      <c r="E18" s="8" t="n">
        <v>46045</v>
      </c>
      <c r="F18" s="2" t="inlineStr">
        <is>
          <t>„EIKA Group“ generalinis direktorius Domas Dargis džiaugėsi, kad šioje istorine aura apgaubtoje miesto vietoje pavyko ne tik sukurti modernų verslo centrą, bet ir pagerbti vietos architektūrinį kontekstą bei miesto atmintį.</t>
        </is>
      </c>
      <c r="G18" s="2" t="n">
        <v>9121</v>
      </c>
      <c r="H18" s="2" t="n">
        <v>0</v>
      </c>
      <c r="I18" s="2" t="n">
        <v>0</v>
      </c>
      <c r="J18" s="2" t="n">
        <v>0</v>
      </c>
      <c r="K18" s="2" t="n"/>
      <c r="L18" s="2" t="inlineStr"/>
      <c r="M18" s="2" t="inlineStr"/>
      <c r="N18" s="2" t="inlineStr">
        <is>
          <t>Lithuania</t>
        </is>
      </c>
      <c r="O18" s="7" t="n">
        <v>84.37</v>
      </c>
      <c r="P18" s="2" t="n">
        <v>44</v>
      </c>
      <c r="Q18" s="2" t="n"/>
    </row>
    <row r="19">
      <c r="A19" s="2" t="inlineStr">
        <is>
          <t>Vilniaus ateitis - moksleivių rankose: kodėl pats laikas pradėti kurti miestą kartu su jaunimu?</t>
        </is>
      </c>
      <c r="B19" s="2">
        <f>HYPERLINK("https://www.15min.lt/verslas/naujiena/nt-ir-interjeras/vilniaus-ateitis-moksleiviu-rankose-kodel-pats-laikas-pradeti-kurti-miesta-kartu-su-jaunimu-971-2605582")</f>
        <v/>
      </c>
      <c r="C19" s="2" t="inlineStr"/>
      <c r="D19" s="2" t="inlineStr">
        <is>
          <t>15min</t>
        </is>
      </c>
      <c r="E19" s="8" t="n">
        <v>46043.14678240741</v>
      </c>
      <c r="F19" s="2" t="inlineStr">
        <is>
          <t>Miestas auga ne kabinetuose, o bendruomenėse
Šią mintį pabrėžia ir konkurso iniciatorius, „EIKA Group“ valdybos pirmininkas Robertas Dargis. Jo įsitikinimu, miesto potencialas priklauso ne nuo vieno lyderio, o nuo to, kaip pavyksta išlaisvinti kūrybingų žmonių talentus.</t>
        </is>
      </c>
      <c r="G19" s="2" t="n">
        <v>1426746</v>
      </c>
      <c r="H19" s="2" t="n">
        <v>0</v>
      </c>
      <c r="I19" s="2" t="n">
        <v>0</v>
      </c>
      <c r="J19" s="2" t="n">
        <v>0</v>
      </c>
      <c r="K19" s="2" t="n"/>
      <c r="L19" s="2" t="inlineStr">
        <is>
          <t>Vilnius</t>
        </is>
      </c>
      <c r="M19" s="2" t="inlineStr">
        <is>
          <t>Vilniaus Apskritis</t>
        </is>
      </c>
      <c r="N19" s="2" t="inlineStr">
        <is>
          <t>Lithuania</t>
        </is>
      </c>
      <c r="O19" s="7" t="n">
        <v>13197.4</v>
      </c>
      <c r="P19" s="2" t="n">
        <v>74</v>
      </c>
      <c r="Q19" s="2" t="n"/>
    </row>
    <row r="20">
      <c r="A20" s="2" t="inlineStr">
        <is>
          <t>Statybunaujienos.lt - Svajonių namai ar finansinis kalėjimas? Klaidos, kurios nuosavo būsto džiaugsmą paverčia našta</t>
        </is>
      </c>
      <c r="B20" s="2">
        <f>HYPERLINK("https://www.statybunaujienos.lt/naujiena/Svajoniu-namai-ar-finansinis-kalejimas-Klaidos-kurios-nuosavo-busto-dziaugsma-pavercia-nasta/25916")</f>
        <v/>
      </c>
      <c r="C20" s="2" t="inlineStr"/>
      <c r="D20" s="2" t="inlineStr">
        <is>
          <t>statybunaujienos.lt</t>
        </is>
      </c>
      <c r="E20" s="8" t="n">
        <v>46037.13333333333</v>
      </c>
      <c r="F20" s="2" t="inlineStr">
        <is>
          <t>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t>
        </is>
      </c>
      <c r="G20" s="2" t="n">
        <v>5370</v>
      </c>
      <c r="H20" s="2" t="n">
        <v>0</v>
      </c>
      <c r="I20" s="2" t="n">
        <v>0</v>
      </c>
      <c r="J20" s="2" t="n">
        <v>5</v>
      </c>
      <c r="K20" s="2" t="n"/>
      <c r="L20" s="2" t="inlineStr"/>
      <c r="M20" s="2" t="inlineStr"/>
      <c r="N20" s="2" t="inlineStr">
        <is>
          <t>Lithuania</t>
        </is>
      </c>
      <c r="O20" s="7" t="n">
        <v>49.67</v>
      </c>
      <c r="P20" s="2" t="n">
        <v>27</v>
      </c>
      <c r="Q20" s="2" t="n"/>
    </row>
    <row r="21">
      <c r="A21" s="2" t="inlineStr">
        <is>
          <t>„FLOW“ verslo centras beveik visiškai užpildytas</t>
        </is>
      </c>
      <c r="B21" s="2">
        <f>HYPERLINK("https://madeinvilnius.lt/verslas/vilniaus-rinka/flow-verslo-centras-beveik-visiskai-uzpildytas/")</f>
        <v/>
      </c>
      <c r="C21" s="2" t="inlineStr"/>
      <c r="D21" s="2" t="inlineStr">
        <is>
          <t>madeinvilnius.lt</t>
        </is>
      </c>
      <c r="E21" s="8" t="n">
        <v>46036</v>
      </c>
      <c r="F21" s="2" t="inlineStr">
        <is>
          <t>Sostinės verslo centrą „FLOW“ valdanti „EIKA Development“ skelbia pasirašiusi sutartis su dviem naujais nuomininkais ir pasiekusi 95 proc. užimtumą. Pastato nuomininkų gretas papildė mokėjimų negrynaisiais pinigais bendrovė „Nayax Europe“ bei IT paslaugų įmonė „Architus“.</t>
        </is>
      </c>
      <c r="G21" s="2" t="n">
        <v>349239</v>
      </c>
      <c r="H21" s="2" t="n">
        <v>0</v>
      </c>
      <c r="I21" s="2" t="n">
        <v>0</v>
      </c>
      <c r="J21" s="2" t="n">
        <v>17</v>
      </c>
      <c r="K21" s="2" t="n"/>
      <c r="L21" s="2" t="inlineStr"/>
      <c r="M21" s="2" t="inlineStr"/>
      <c r="N21" s="2" t="inlineStr">
        <is>
          <t>Lithuania</t>
        </is>
      </c>
      <c r="O21" s="7" t="n">
        <v>3230.46</v>
      </c>
      <c r="P21" s="2" t="n">
        <v>35</v>
      </c>
      <c r="Q21" s="2" t="n"/>
    </row>
    <row r="22">
      <c r="A22" s="2" t="inlineStr">
        <is>
          <t>Sostinės verslo centre „FLOW“ įsikurs dar dvi tarptautinės įmonės: viso išnuomota jau 95 proc. patalpų</t>
        </is>
      </c>
      <c r="B22" s="2">
        <f>HYPERLINK("https://www.15min.lt/verslas/naujiena/bns-spaudos-centras/sostines-verslo-centre-flow-isikurs-dar-dvi-tarptautines-imones-viso-isnuomota-jau-95-proc-patalpu-522103")</f>
        <v/>
      </c>
      <c r="C22" s="2" t="inlineStr"/>
      <c r="D22" s="2" t="inlineStr">
        <is>
          <t>15min</t>
        </is>
      </c>
      <c r="E22" s="8" t="n">
        <v>46035.10887731481</v>
      </c>
      <c r="F22" s="2" t="inlineStr">
        <is>
          <t>„EIKA Development“ turto valdymo departamento direktoriaus Giedriaus Brūzgės teigimu, sudėtingame šiandienos sostinės biurų rinkos kontekste tai – puikus pasiekimas.</t>
        </is>
      </c>
      <c r="G22" s="2" t="n">
        <v>1426746</v>
      </c>
      <c r="H22" s="2" t="n">
        <v>0</v>
      </c>
      <c r="I22" s="2" t="n">
        <v>0</v>
      </c>
      <c r="J22" s="2" t="n">
        <v>0</v>
      </c>
      <c r="K22" s="2" t="n"/>
      <c r="L22" s="2" t="inlineStr">
        <is>
          <t>Vilnius</t>
        </is>
      </c>
      <c r="M22" s="2" t="inlineStr">
        <is>
          <t>Vilniaus Apskritis</t>
        </is>
      </c>
      <c r="N22" s="2" t="inlineStr">
        <is>
          <t>Lithuania</t>
        </is>
      </c>
      <c r="O22" s="7" t="n">
        <v>13197.4</v>
      </c>
      <c r="P22" s="2" t="n">
        <v>74</v>
      </c>
      <c r="Q22" s="2" t="n"/>
    </row>
    <row r="23">
      <c r="A23" s="2" t="inlineStr">
        <is>
          <t>Sostinės verslo centre „FLOW“ įsikurs dar dvi tarptautinės įmonės: viso išnuomota jau 95 proc. patalpų</t>
        </is>
      </c>
      <c r="B23" s="2">
        <f>HYPERLINK("https://sc.bns.lt/view/item/sostines-verslo-centre-flow-isikurs-dar-dvi-tarptautines-imones-viso-isnuomota-jau-95-proc-patalpu-522103")</f>
        <v/>
      </c>
      <c r="C23" s="2" t="inlineStr"/>
      <c r="D23" s="2" t="inlineStr">
        <is>
          <t>Baltic News Service (Lithuania)</t>
        </is>
      </c>
      <c r="E23" s="8" t="n">
        <v>46035.07158564815</v>
      </c>
      <c r="F23" s="2" t="inlineStr">
        <is>
          <t>Sostinės verslo centrą „FLOW“ valdanti „EIKA Development“ skelbia pasirašiusi sutartis su dviem naujais nuomininkais ir pasiekusi 95 proc. užimtumą. Pastato nuomininkų gretas papildė mokėjimų negrynaisiais pinigais bendrovė „Nayax Europe“ bei IT paslaugų įmonė „Architus“.</t>
        </is>
      </c>
      <c r="G23" s="2" t="n">
        <v>32397</v>
      </c>
      <c r="H23" s="2" t="n">
        <v>0</v>
      </c>
      <c r="I23" s="2" t="n">
        <v>0</v>
      </c>
      <c r="J23" s="2" t="n">
        <v>0</v>
      </c>
      <c r="K23" s="2" t="n"/>
      <c r="L23" s="2" t="inlineStr">
        <is>
          <t>Vilnius</t>
        </is>
      </c>
      <c r="M23" s="2" t="inlineStr"/>
      <c r="N23" s="2" t="inlineStr">
        <is>
          <t>Lithuania</t>
        </is>
      </c>
      <c r="O23" s="7" t="n">
        <v>299.67</v>
      </c>
      <c r="P23" s="2" t="n">
        <v>55</v>
      </c>
      <c r="Q23" s="2" t="n"/>
    </row>
    <row r="24">
      <c r="A24" s="2" t="inlineStr">
        <is>
          <t>JAV technologijų milžinė dar labiau plečiasi Vilniuje: ieškomi nauji darbuotojai</t>
        </is>
      </c>
      <c r="B24" s="2">
        <f>HYPERLINK("https://madeinvilnius.lt/verslas/vilniaus-rinka/jav-technologiju-milzine-dar-labiau-pleciasi-vilniuje-ieskomi-nauji-darbuotojai/")</f>
        <v/>
      </c>
      <c r="C24" s="2" t="inlineStr"/>
      <c r="D24" s="2" t="inlineStr">
        <is>
          <t>madeinvilnius.lt</t>
        </is>
      </c>
      <c r="E24" s="8" t="n">
        <v>46035.0625</v>
      </c>
      <c r="F24" s="2" t="inlineStr">
        <is>
          <t>Projektą vystė „EIKA Development“, kuri konstrukciškai sudėtingą biurų pastatų sujungimą įgyvendino anksčiau nei planuota – mažiau nei per metus, nenutraukiant kasdienės verslo centro veiklos.</t>
        </is>
      </c>
      <c r="G24" s="2" t="n">
        <v>349239</v>
      </c>
      <c r="H24" s="2" t="n">
        <v>0</v>
      </c>
      <c r="I24" s="2" t="n">
        <v>0</v>
      </c>
      <c r="J24" s="2" t="n">
        <v>28</v>
      </c>
      <c r="K24" s="2" t="n"/>
      <c r="L24" s="2" t="inlineStr"/>
      <c r="M24" s="2" t="inlineStr"/>
      <c r="N24" s="2" t="inlineStr">
        <is>
          <t>Lithuania</t>
        </is>
      </c>
      <c r="O24" s="7" t="n">
        <v>3230.46</v>
      </c>
      <c r="P24" s="2" t="n">
        <v>35</v>
      </c>
      <c r="Q24" s="2" t="n"/>
    </row>
    <row r="25">
      <c r="A25" s="2" t="inlineStr">
        <is>
          <t>Sostinės verslo centre „FLOW“ įsikurs dar dvi tarptautinės įmonės: viso išnuomota jau 95 proc. patalpų</t>
        </is>
      </c>
      <c r="B25" s="2">
        <f>HYPERLINK("https://www.elta.lt/lt/pranesimai-spaudai/sostines-verslo-centre-flow-isikurs-dar-dvi-tarptautines-imones-viso-isnuomota-jau-95-proc-patalpu-260790")</f>
        <v/>
      </c>
      <c r="C25" s="2" t="inlineStr"/>
      <c r="D25" s="2" t="inlineStr">
        <is>
          <t>elta.lt</t>
        </is>
      </c>
      <c r="E25" s="8" t="n">
        <v>46035</v>
      </c>
      <c r="F25" s="2" t="inlineStr">
        <is>
          <t>Sostinės verslo centrą „FLOW“ valdanti „EIKA Development“ skelbia pasirašiusi sutartis su dviem naujais nuomininkais ir pasiekusi 95 proc. užimtumą. Pastato nuomininkų gretas papildė mokėjimų negrynaisiais pinigais bendrovė „Nayax Europe“ bei IT paslaugų įmonė „Architus“.</t>
        </is>
      </c>
      <c r="G25" s="2" t="n">
        <v>9121</v>
      </c>
      <c r="H25" s="2" t="n">
        <v>0</v>
      </c>
      <c r="I25" s="2" t="n">
        <v>0</v>
      </c>
      <c r="J25" s="2" t="n">
        <v>0</v>
      </c>
      <c r="K25" s="2" t="n"/>
      <c r="L25" s="2" t="inlineStr"/>
      <c r="M25" s="2" t="inlineStr"/>
      <c r="N25" s="2" t="inlineStr">
        <is>
          <t>Lithuania</t>
        </is>
      </c>
      <c r="O25" s="7" t="n">
        <v>84.37</v>
      </c>
      <c r="P25" s="2" t="n">
        <v>44</v>
      </c>
      <c r="Q25" s="2" t="n"/>
    </row>
    <row r="26">
      <c r="A26" s="2" t="inlineStr">
        <is>
          <t>Statybunaujienos.lt - Vilniaus centre beveik baigtas statyti gyvenamosios paskirties projektas: parduota 85 proc. būstų</t>
        </is>
      </c>
      <c r="B26" s="2">
        <f>HYPERLINK("https://www.statybunaujienos.lt/naujiena/Vilniaus-centre-beveik-baigtas-statyti-gyvenamosios-paskirties-projektas-parduota-85-proc-bustu/25894")</f>
        <v/>
      </c>
      <c r="C26" s="2" t="inlineStr"/>
      <c r="D26" s="2" t="inlineStr">
        <is>
          <t>statybunaujienos.lt</t>
        </is>
      </c>
      <c r="E26" s="8" t="n">
        <v>46034.30079861111</v>
      </c>
      <c r="F26" s="2" t="inlineStr">
        <is>
          <t>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t>
        </is>
      </c>
      <c r="G26" s="2" t="n">
        <v>5370</v>
      </c>
      <c r="H26" s="2" t="n">
        <v>0</v>
      </c>
      <c r="I26" s="2" t="n">
        <v>0</v>
      </c>
      <c r="J26" s="2" t="n">
        <v>0</v>
      </c>
      <c r="K26" s="2" t="n"/>
      <c r="L26" s="2" t="inlineStr"/>
      <c r="M26" s="2" t="inlineStr"/>
      <c r="N26" s="2" t="inlineStr">
        <is>
          <t>Lithuania</t>
        </is>
      </c>
      <c r="O26" s="7" t="n">
        <v>49.67</v>
      </c>
      <c r="P26" s="2" t="n">
        <v>27</v>
      </c>
      <c r="Q26" s="2" t="n"/>
    </row>
    <row r="27">
      <c r="A27" s="2" t="inlineStr">
        <is>
          <t>„Shift4“ plečia komandą Vilniuje: tiltu jungia du biurų pastatus ir stiprina savo pozicijas Europos rinkose</t>
        </is>
      </c>
      <c r="B27" s="2">
        <f>HYPERLINK("https://sc.bns.lt/view/item/shift4-plecia-komanda-vilniuje-tiltu-jungia-du-biuru-pastatus-ir-stiprina-savo-pozicijas-europos-rinkose-521972")</f>
        <v/>
      </c>
      <c r="C27" s="2" t="inlineStr"/>
      <c r="D27" s="2" t="inlineStr">
        <is>
          <t>Baltic News Service (Lithuania)</t>
        </is>
      </c>
      <c r="E27" s="8" t="n">
        <v>46031.23998842593</v>
      </c>
      <c r="F27" s="2" t="inlineStr">
        <is>
          <t>Projektą vystė „EIKA Development“, kuri konstrukciškai sudėtingą biurų pastatų sujungimą įgyvendino anksčiau nei planuota - mažiau nei per metus, nenutraukiant kasdienės verslo centro veiklos.</t>
        </is>
      </c>
      <c r="G27" s="2" t="n">
        <v>32397</v>
      </c>
      <c r="H27" s="2" t="n">
        <v>0</v>
      </c>
      <c r="I27" s="2" t="n">
        <v>0</v>
      </c>
      <c r="J27" s="2" t="n">
        <v>0</v>
      </c>
      <c r="K27" s="2" t="n"/>
      <c r="L27" s="2" t="inlineStr">
        <is>
          <t>Vilnius</t>
        </is>
      </c>
      <c r="M27" s="2" t="inlineStr"/>
      <c r="N27" s="2" t="inlineStr">
        <is>
          <t>Lithuania</t>
        </is>
      </c>
      <c r="O27" s="7" t="n">
        <v>299.67</v>
      </c>
      <c r="P27" s="2" t="n">
        <v>55</v>
      </c>
      <c r="Q27" s="2" t="n"/>
    </row>
    <row r="28">
      <c r="A28" s="2" t="inlineStr">
        <is>
          <t>„Shift4“ plečia komandą Vilniuje: tiltu jungia du biurų pastatus ir stiprina savo pozicijas Europos rinkose</t>
        </is>
      </c>
      <c r="B28" s="2">
        <f>HYPERLINK("https://www.15min.lt/verslas/naujiena/bns-spaudos-centras/shift4-plecia-komanda-vilniuje-tiltu-jungia-du-biuru-pastatus-ir-stiprina-savo-pozicijas-europos-rinkose-521972")</f>
        <v/>
      </c>
      <c r="C28" s="2" t="inlineStr"/>
      <c r="D28" s="2" t="inlineStr">
        <is>
          <t>15min</t>
        </is>
      </c>
      <c r="E28" s="8" t="n">
        <v>46031.22863425926</v>
      </c>
      <c r="F28" s="2" t="inlineStr">
        <is>
          <t>Projektą vystė „EIKA Development“, kuri konstrukciškai sudėtingą biurų pastatų sujungimą įgyvendino anksčiau nei planuota - mažiau nei per metus, nenutraukiant kasdienės verslo centro veiklos.</t>
        </is>
      </c>
      <c r="G28" s="2" t="n">
        <v>1426746</v>
      </c>
      <c r="H28" s="2" t="n">
        <v>0</v>
      </c>
      <c r="I28" s="2" t="n">
        <v>0</v>
      </c>
      <c r="J28" s="2" t="n">
        <v>0</v>
      </c>
      <c r="K28" s="2" t="n"/>
      <c r="L28" s="2" t="inlineStr">
        <is>
          <t>Vilnius</t>
        </is>
      </c>
      <c r="M28" s="2" t="inlineStr">
        <is>
          <t>Vilniaus Apskritis</t>
        </is>
      </c>
      <c r="N28" s="2" t="inlineStr">
        <is>
          <t>Lithuania</t>
        </is>
      </c>
      <c r="O28" s="7" t="n">
        <v>13197.4</v>
      </c>
      <c r="P28" s="2" t="n">
        <v>74</v>
      </c>
      <c r="Q28" s="2" t="n"/>
    </row>
    <row r="29">
      <c r="A29" s="2" t="inlineStr">
        <is>
          <t>Naujas fondas taikosi į Vilniaus būsto bumą: planuoja šimtus butų ir dviženklę grąžą</t>
        </is>
      </c>
      <c r="B29" s="2">
        <f>HYPERLINK("https://madeinvilnius.lt/verslas/nekilnojamas-turtas/naujas-fondas-taikosi-i-vilniaus-busto-buma-planuoja-simtus-butu-ir-dvizenkle-graza/")</f>
        <v/>
      </c>
      <c r="C29" s="2" t="inlineStr">
        <is>
          <t>Pranešimas spaudai</t>
        </is>
      </c>
      <c r="D29" s="2" t="inlineStr">
        <is>
          <t>madeinvilnius.lt</t>
        </is>
      </c>
      <c r="E29" s="8" t="n">
        <v>46030.96875</v>
      </c>
      <c r="F29" s="2" t="inlineStr">
        <is>
          <t>Investicijų valdymo bendrovė „EIKA Asset Management“ (EAM), priklausanti vienai iš pirmaujančių nekilnojamojo turto plėtros grupių Lietuvoje „EIKA Group“, įsteigė dar vieną naują uždarojo tipo fondą – KŪB „EIKA Residential Fund III“, skirtą informuotiesiems investuotojams.</t>
        </is>
      </c>
      <c r="G29" s="2" t="n">
        <v>349239</v>
      </c>
      <c r="H29" s="2" t="n">
        <v>0</v>
      </c>
      <c r="I29" s="2" t="n">
        <v>0</v>
      </c>
      <c r="J29" s="2" t="n">
        <v>12</v>
      </c>
      <c r="K29" s="2" t="n"/>
      <c r="L29" s="2" t="inlineStr"/>
      <c r="M29" s="2" t="inlineStr"/>
      <c r="N29" s="2" t="inlineStr">
        <is>
          <t>Lithuania</t>
        </is>
      </c>
      <c r="O29" s="7" t="n">
        <v>3230.46</v>
      </c>
      <c r="P29" s="2" t="n">
        <v>35</v>
      </c>
      <c r="Q29" s="2" t="n"/>
    </row>
    <row r="30">
      <c r="A30" s="2" t="inlineStr">
        <is>
          <t>„EIKA Group“ priklausanti investicijų valdymo bendrovė įsteigė naują fondą</t>
        </is>
      </c>
      <c r="B30" s="2">
        <f>HYPERLINK("https://www.delfi.lt/projektai/elta/eika-group-priklausanti-investiciju-valdymo-bendrove-isteige-nauja-fonda-120195824")</f>
        <v/>
      </c>
      <c r="C30" s="2" t="inlineStr"/>
      <c r="D30" s="2" t="inlineStr">
        <is>
          <t>DELFI Lithuania</t>
        </is>
      </c>
      <c r="E30" s="8" t="n">
        <v>46030.50015046296</v>
      </c>
      <c r="F30" s="2" t="inlineStr">
        <is>
          <t>KŪB „EIKA Residential Fund III“ yra aštuntasis „EIKA Asset Management“ įsteigtas investicinis fondas, jo valdytoju paskirtas bendrovės kapitalo rinkų vadovas Gediminas Tamašauskas.</t>
        </is>
      </c>
      <c r="G30" s="2" t="n">
        <v>1878795</v>
      </c>
      <c r="H30" s="2" t="n">
        <v>0</v>
      </c>
      <c r="I30" s="2" t="n">
        <v>0</v>
      </c>
      <c r="J30" s="2" t="n">
        <v>0</v>
      </c>
      <c r="K30" s="2" t="n"/>
      <c r="L30" s="2" t="inlineStr">
        <is>
          <t>Vilnius</t>
        </is>
      </c>
      <c r="M30" s="2" t="inlineStr"/>
      <c r="N30" s="2" t="inlineStr">
        <is>
          <t>Lithuania</t>
        </is>
      </c>
      <c r="O30" s="7" t="n">
        <v>9393.98</v>
      </c>
      <c r="P30" s="2" t="n">
        <v>81</v>
      </c>
      <c r="Q30" s="2" t="n"/>
    </row>
    <row r="31">
      <c r="A31" s="2" t="inlineStr">
        <is>
          <t>Statybunaujienos.lt - Susisiekimo ministerijos komentaras dėl Vilniaus geležinkelio stoties pertvarkos</t>
        </is>
      </c>
      <c r="B31" s="2">
        <f>HYPERLINK("https://www.statybunaujienos.lt/naujiena/Susisiekimo-ministerijos-komentaras-del-Vilniaus-gelezinkelio-stoties-pertvarkos/25873")</f>
        <v/>
      </c>
      <c r="C31" s="2" t="inlineStr"/>
      <c r="D31" s="2" t="inlineStr">
        <is>
          <t>statybunaujienos.lt</t>
        </is>
      </c>
      <c r="E31" s="8" t="n">
        <v>46030.27106481481</v>
      </c>
      <c r="F31" s="2"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G31" s="2" t="n">
        <v>5370</v>
      </c>
      <c r="H31" s="2" t="n">
        <v>0</v>
      </c>
      <c r="I31" s="2" t="n">
        <v>0</v>
      </c>
      <c r="J31" s="2" t="n">
        <v>0</v>
      </c>
      <c r="K31" s="2" t="n"/>
      <c r="L31" s="2" t="inlineStr"/>
      <c r="M31" s="2" t="inlineStr"/>
      <c r="N31" s="2" t="inlineStr">
        <is>
          <t>Lithuania</t>
        </is>
      </c>
      <c r="O31" s="7" t="n">
        <v>49.67</v>
      </c>
      <c r="P31" s="2" t="n">
        <v>27</v>
      </c>
      <c r="Q31" s="2" t="n"/>
    </row>
    <row r="32">
      <c r="A32" s="2" t="inlineStr">
        <is>
          <t>„EIKA Group“ priklausanti investicijų valdymo bendrovė įsteigė naują fondą</t>
        </is>
      </c>
      <c r="B32" s="2">
        <f>HYPERLINK("https://www.tv3.lt/naujiena/verslas/eika-group-priklausanti-investiciju-valdymo-bendrove-isteige-nauja-fonda-n1483699")</f>
        <v/>
      </c>
      <c r="C32" s="2" t="inlineStr"/>
      <c r="D32" s="2" t="inlineStr">
        <is>
          <t>TV3 Lithuania</t>
        </is>
      </c>
      <c r="E32" s="8" t="n">
        <v>46030.23769675926</v>
      </c>
      <c r="F32" s="2" t="inlineStr">
        <is>
          <t xml:space="preserve">KŪB „EIKA Residential Fund III“ yra aštuntasis „EIKA Asset Management“ įsteigtas investicinis fondas, jo valdytoju paskirtas bendrovės kapitalo rinkų vadovas Gediminas Tamašauskas. </t>
        </is>
      </c>
      <c r="G32" s="2" t="n">
        <v>1240858</v>
      </c>
      <c r="H32" s="2" t="n">
        <v>0</v>
      </c>
      <c r="I32" s="2" t="n">
        <v>0</v>
      </c>
      <c r="J32" s="2" t="n">
        <v>0</v>
      </c>
      <c r="K32" s="2" t="n"/>
      <c r="L32" s="2" t="inlineStr">
        <is>
          <t>Vilnius</t>
        </is>
      </c>
      <c r="M32" s="2" t="inlineStr"/>
      <c r="N32" s="2" t="inlineStr">
        <is>
          <t>Lithuania</t>
        </is>
      </c>
      <c r="O32" s="7" t="n">
        <v>11477.94</v>
      </c>
      <c r="P32" s="2" t="n">
        <v>60</v>
      </c>
      <c r="Q32" s="2" t="n"/>
    </row>
    <row r="33">
      <c r="A33" s="2" t="inlineStr">
        <is>
          <t>„EIKA“ šalia Visorių miško parko pradeda naują daugiabučių kvartalą</t>
        </is>
      </c>
      <c r="B33" s="2">
        <f>HYPERLINK("https://madeinvilnius.lt/verslas/statybos-vilniuje/eika-salia-visoriu-misko-parko-pradeda-nauja-daugiabuciu-kvartala/")</f>
        <v/>
      </c>
      <c r="C33" s="2" t="inlineStr"/>
      <c r="D33" s="2" t="inlineStr">
        <is>
          <t>madeinvilnius.lt</t>
        </is>
      </c>
      <c r="E33" s="8" t="n">
        <v>46030.16666666666</v>
      </c>
      <c r="F33" s="2" t="inlineStr">
        <is>
          <t>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t>
        </is>
      </c>
      <c r="G33" s="2" t="n">
        <v>349239</v>
      </c>
      <c r="H33" s="2" t="n">
        <v>0</v>
      </c>
      <c r="I33" s="2" t="n">
        <v>0</v>
      </c>
      <c r="J33" s="2" t="n">
        <v>24</v>
      </c>
      <c r="K33" s="2" t="n"/>
      <c r="L33" s="2" t="inlineStr"/>
      <c r="M33" s="2" t="inlineStr"/>
      <c r="N33" s="2" t="inlineStr">
        <is>
          <t>Lithuania</t>
        </is>
      </c>
      <c r="O33" s="7" t="n">
        <v>3230.46</v>
      </c>
      <c r="P33" s="2" t="n">
        <v>35</v>
      </c>
      <c r="Q33" s="2" t="n"/>
    </row>
    <row r="34">
      <c r="A34" s="2" t="inlineStr">
        <is>
          <t>„EIKA Asset Management“ metus pradeda nauju fondu ir plečia investicijas Vilniuje</t>
        </is>
      </c>
      <c r="B34" s="2">
        <f>HYPERLINK("https://sc.bns.lt/view/item/eika-asset-management-metus-pradeda-nauju-fondu-ir-plecia-investicijas-vilniuje-521873")</f>
        <v/>
      </c>
      <c r="C34" s="2" t="inlineStr"/>
      <c r="D34" s="2" t="inlineStr">
        <is>
          <t>Baltic News Service (Lithuania)</t>
        </is>
      </c>
      <c r="E34" s="8" t="n">
        <v>46030.16332175926</v>
      </c>
      <c r="F34" s="2" t="inlineStr">
        <is>
          <t>Investicijų valdymo bendrovė „EIKA Asset Management“ (EAM), priklausanti vienai iš pirmaujančių nekilnojamojo turto plėtros grupių Lietuvoje „EIKA Group“, įsteigė dar vieną naują uždarojo tipo fondą – KŪB „EIKA Residential Fund III“, skirtą informuotiesiems investuotojams.</t>
        </is>
      </c>
      <c r="G34" s="2" t="n">
        <v>32397</v>
      </c>
      <c r="H34" s="2" t="n">
        <v>0</v>
      </c>
      <c r="I34" s="2" t="n">
        <v>0</v>
      </c>
      <c r="J34" s="2" t="n">
        <v>0</v>
      </c>
      <c r="K34" s="2" t="n"/>
      <c r="L34" s="2" t="inlineStr">
        <is>
          <t>Vilnius</t>
        </is>
      </c>
      <c r="M34" s="2" t="inlineStr"/>
      <c r="N34" s="2" t="inlineStr">
        <is>
          <t>Lithuania</t>
        </is>
      </c>
      <c r="O34" s="7" t="n">
        <v>299.67</v>
      </c>
      <c r="P34" s="2" t="n">
        <v>55</v>
      </c>
      <c r="Q34" s="2" t="n"/>
    </row>
    <row r="35">
      <c r="A35" s="2" t="inlineStr">
        <is>
          <t>„EIKA Asset Management“ metus pradeda nauju fondu ir plečia investicijas Vilniuje</t>
        </is>
      </c>
      <c r="B35" s="2">
        <f>HYPERLINK("https://www.15min.lt/verslas/naujiena/bns-spaudos-centras/eika-asset-management-metus-pradeda-nauju-fondu-ir-plecia-investicijas-vilniuje-521873")</f>
        <v/>
      </c>
      <c r="C35" s="2" t="inlineStr"/>
      <c r="D35" s="2" t="inlineStr">
        <is>
          <t>15min</t>
        </is>
      </c>
      <c r="E35" s="8" t="n">
        <v>46030.11789351852</v>
      </c>
      <c r="F35" s="2" t="inlineStr">
        <is>
          <t>KŪB „EIKA Residential Fund III“ yra aštuntasis „EIKA Asset Management“ įsteigtas investicinis fondas. Savo veiklą jis pradeda itin aktyviai – planuojama vystyti apie 900 butų portfelį gyvenamosios paskirties nekilnojamojo turto projektuose Vilniuje.</t>
        </is>
      </c>
      <c r="G35" s="2" t="n">
        <v>1426746</v>
      </c>
      <c r="H35" s="2" t="n">
        <v>0</v>
      </c>
      <c r="I35" s="2" t="n">
        <v>0</v>
      </c>
      <c r="J35" s="2" t="n">
        <v>0</v>
      </c>
      <c r="K35" s="2" t="n"/>
      <c r="L35" s="2" t="inlineStr">
        <is>
          <t>Vilnius</t>
        </is>
      </c>
      <c r="M35" s="2" t="inlineStr">
        <is>
          <t>Vilniaus Apskritis</t>
        </is>
      </c>
      <c r="N35" s="2" t="inlineStr">
        <is>
          <t>Lithuania</t>
        </is>
      </c>
      <c r="O35" s="7" t="n">
        <v>13197.4</v>
      </c>
      <c r="P35" s="2" t="n">
        <v>74</v>
      </c>
      <c r="Q35" s="2" t="n"/>
    </row>
    <row r="36">
      <c r="A36" s="2" t="inlineStr">
        <is>
          <t>Statybunaujienos.lt - Kokie būsto kriterijai su prestižu labiausiai asocijuojasi Lietuvos gyventojams</t>
        </is>
      </c>
      <c r="B36" s="2">
        <f>HYPERLINK("https://www.statybunaujienos.lt/naujiena/Kokie-busto-kriterijai-su-prestizu-labiausiai-asocijuojasi-Lietuvos-gyventojams/25860")</f>
        <v/>
      </c>
      <c r="C36" s="2" t="inlineStr"/>
      <c r="D36" s="2" t="inlineStr">
        <is>
          <t>statybunaujienos.lt</t>
        </is>
      </c>
      <c r="E36" s="8" t="n">
        <v>46029.19505787037</v>
      </c>
      <c r="F36" s="2" t="inlineStr">
        <is>
          <t>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t>
        </is>
      </c>
      <c r="G36" s="2" t="n">
        <v>5370</v>
      </c>
      <c r="H36" s="2" t="n">
        <v>0</v>
      </c>
      <c r="I36" s="2" t="n">
        <v>0</v>
      </c>
      <c r="J36" s="2" t="n">
        <v>0</v>
      </c>
      <c r="K36" s="2" t="n"/>
      <c r="L36" s="2" t="inlineStr"/>
      <c r="M36" s="2" t="inlineStr"/>
      <c r="N36" s="2" t="inlineStr">
        <is>
          <t>Lithuania</t>
        </is>
      </c>
      <c r="O36" s="7" t="n">
        <v>49.67</v>
      </c>
      <c r="P36" s="2" t="n">
        <v>27</v>
      </c>
      <c r="Q36" s="2" t="n"/>
    </row>
    <row r="37">
      <c r="A37" s="2" t="inlineStr">
        <is>
          <t>Sostinės Visorių mikrorajone pradedamos naujo gyvenamųjų namų kvartalo statybos</t>
        </is>
      </c>
      <c r="B37" s="2">
        <f>HYPERLINK("https://www.delfi.lt/projektai/elta/sostines-visoriu-mikrorajone-pradedamos-naujo-gyvenamuju-namu-kvartalo-statybos-120194933")</f>
        <v/>
      </c>
      <c r="C37" s="2" t="inlineStr"/>
      <c r="D37" s="2" t="inlineStr">
        <is>
          <t>DELFI Lithuania</t>
        </is>
      </c>
      <c r="E37" s="8" t="n">
        <v>46029.07361111111</v>
      </c>
      <c r="F37" s="2" t="inlineStr">
        <is>
          <t>Esame įsitikinę, kad aktyvus gyvenimas miško apsuptyje bus didelė vertė tiek jaunoms šeimoms, tiek dirbantiems profesionalams“, – pranešime teigia „EIKA Development“ plėtros departamento direktorius Tomas Žiaugra.</t>
        </is>
      </c>
      <c r="G37" s="2" t="n">
        <v>1878795</v>
      </c>
      <c r="H37" s="2" t="n">
        <v>0</v>
      </c>
      <c r="I37" s="2" t="n">
        <v>0</v>
      </c>
      <c r="J37" s="2" t="n">
        <v>0</v>
      </c>
      <c r="K37" s="2" t="n"/>
      <c r="L37" s="2" t="inlineStr">
        <is>
          <t>Vilnius</t>
        </is>
      </c>
      <c r="M37" s="2" t="inlineStr"/>
      <c r="N37" s="2" t="inlineStr">
        <is>
          <t>Lithuania</t>
        </is>
      </c>
      <c r="O37" s="7" t="n">
        <v>9393.98</v>
      </c>
      <c r="P37" s="2" t="n">
        <v>81</v>
      </c>
      <c r="Q37" s="2" t="n"/>
    </row>
    <row r="38">
      <c r="A38" s="2" t="inlineStr">
        <is>
          <t>Sostinės Visorių mikrorajone pradedamos naujo gyvenamųjų namų kvartalo statybos</t>
        </is>
      </c>
      <c r="B38" s="2">
        <f>HYPERLINK("https://www.lrt.lt/naujienos/verslas/4/2798305/sostines-visoriu-mikrorajone-pradedamos-naujo-gyvenamuju-namu-kvartalo-statybos")</f>
        <v/>
      </c>
      <c r="C38" s="2" t="inlineStr"/>
      <c r="D38" s="2" t="inlineStr">
        <is>
          <t>Lithuanian National Radio and Television (LRT)</t>
        </is>
      </c>
      <c r="E38" s="8" t="n">
        <v>46028.4327662037</v>
      </c>
      <c r="F38" s="2" t="inlineStr">
        <is>
          <t>Sostinėje, šalia Visorių miško parko, pradedamos projekto „Miško sprintas“ gyvenamojo kvartalo statybos, pranešė nekilnojamojo turto (NT) projektų valdymo bendrovė „EIKA Development“. Numatoma, kad projekto teritorijoje iš viso bus pastatyta 10 daugiabučių ir daugiau nei 500 butų.</t>
        </is>
      </c>
      <c r="G38" s="2" t="n">
        <v>1529307</v>
      </c>
      <c r="H38" s="2" t="n">
        <v>0</v>
      </c>
      <c r="I38" s="2" t="n">
        <v>0</v>
      </c>
      <c r="J38" s="2" t="n">
        <v>0</v>
      </c>
      <c r="K38" s="2" t="n"/>
      <c r="L38" s="2" t="inlineStr">
        <is>
          <t>Vilnius</t>
        </is>
      </c>
      <c r="M38" s="2" t="inlineStr">
        <is>
          <t>Vilniaus Apskritis</t>
        </is>
      </c>
      <c r="N38" s="2" t="inlineStr">
        <is>
          <t>Lithuania</t>
        </is>
      </c>
      <c r="O38" s="7" t="n">
        <v>14146.09</v>
      </c>
      <c r="P38" s="2" t="n">
        <v>68</v>
      </c>
      <c r="Q38" s="2" t="n"/>
    </row>
    <row r="39">
      <c r="A39" s="2" t="inlineStr">
        <is>
          <t>Statybunaujienos.lt - „Vandens formos“ Palangoje: 33 prabangūs apartamentai su konsjeržo paslauga ir meniniais akcentais</t>
        </is>
      </c>
      <c r="B39" s="2">
        <f>HYPERLINK("https://www.statybunaujienos.lt/naujiena/Vandens-formos-Palangoje-33-prabangus-apartamentai-su-konsjerzo-paslauga-ir-meniniais-akcentais/25853")</f>
        <v/>
      </c>
      <c r="C39" s="2" t="inlineStr"/>
      <c r="D39" s="2" t="inlineStr">
        <is>
          <t>statybunaujienos.lt</t>
        </is>
      </c>
      <c r="E39" s="8" t="n">
        <v>46028.28329861111</v>
      </c>
      <c r="F39" s="2" t="inlineStr">
        <is>
          <t>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t>
        </is>
      </c>
      <c r="G39" s="2" t="n">
        <v>5370</v>
      </c>
      <c r="H39" s="2" t="n">
        <v>0</v>
      </c>
      <c r="I39" s="2" t="n">
        <v>0</v>
      </c>
      <c r="J39" s="2" t="n">
        <v>0</v>
      </c>
      <c r="K39" s="2" t="n"/>
      <c r="L39" s="2" t="inlineStr"/>
      <c r="M39" s="2" t="inlineStr"/>
      <c r="N39" s="2" t="inlineStr">
        <is>
          <t>Lithuania</t>
        </is>
      </c>
      <c r="O39" s="7" t="n">
        <v>49.67</v>
      </c>
      <c r="P39" s="2" t="n">
        <v>27</v>
      </c>
      <c r="Q39" s="2" t="n"/>
    </row>
    <row r="40">
      <c r="A40" s="2" t="inlineStr">
        <is>
          <t>Verdanti NT rinka - kokios pirkėjų rūšies kratosi vystytojai</t>
        </is>
      </c>
      <c r="B40" s="2">
        <f>HYPERLINK("https://www.delfi.lt/verslo-poziuris/naujienos/verdanti-nt-rinka-kokios-pirkeju-rusies-kratosi-vystytojai-120194079")</f>
        <v/>
      </c>
      <c r="C40" s="2" t="inlineStr"/>
      <c r="D40" s="2" t="inlineStr">
        <is>
          <t>DELFI Lithuania</t>
        </is>
      </c>
      <c r="E40" s="8" t="n">
        <v>46028.17751157407</v>
      </c>
      <c r="F40" s="2" t="inlineStr">
        <is>
          <t>.“, – sako Martynas Žibūda, „EIKA Development“ generalinis direktorius. 
Vadovas sako, kad skaičiuoti žmonės, kurie deklaruoja, jog ten negyvens, bet būstą pirks nuomai. Dalis įsigyja laukdami pačio būsto brangimo ir tikėdamiesi, kad pagrindinis uždarbis bus ne iš nuomos, bet iš pardavimo.</t>
        </is>
      </c>
      <c r="G40" s="2" t="n">
        <v>1878795</v>
      </c>
      <c r="H40" s="2" t="n">
        <v>0</v>
      </c>
      <c r="I40" s="2" t="n">
        <v>0</v>
      </c>
      <c r="J40" s="2" t="n">
        <v>0</v>
      </c>
      <c r="K40" s="2" t="n"/>
      <c r="L40" s="2" t="inlineStr">
        <is>
          <t>Vilnius</t>
        </is>
      </c>
      <c r="M40" s="2" t="inlineStr"/>
      <c r="N40" s="2" t="inlineStr">
        <is>
          <t>Lithuania</t>
        </is>
      </c>
      <c r="O40" s="7" t="n">
        <v>9393.98</v>
      </c>
      <c r="P40" s="2" t="n">
        <v>81</v>
      </c>
      <c r="Q40" s="2" t="n"/>
    </row>
    <row r="41">
      <c r="A41" s="2" t="inlineStr">
        <is>
          <t>Visoriuose pradeda 500 naujų butų projekto „Miško sprintas“ pardavimus</t>
        </is>
      </c>
      <c r="B41" s="2">
        <f>HYPERLINK("https://www.lrytas.lt/bustas/nekilnojamasis-turtas/2026/01/06/news/visoriuose-pradeda-500-nauju-butu-projekto-misko-sprintas-pardavimus-40856839")</f>
        <v/>
      </c>
      <c r="C41" s="2" t="inlineStr"/>
      <c r="D41" s="2" t="inlineStr">
        <is>
          <t>lrytas.lt</t>
        </is>
      </c>
      <c r="E41" s="8" t="n">
        <v>46028.09229166667</v>
      </c>
      <c r="F41" s="2" t="inlineStr">
        <is>
          <t>Esame įsitikinę, kad aktyvus gyvenimas miško apsuptyje bus didelė vertė tiek jaunoms šeimoms, tiek dirbantiems profesionalams“, – teigia „EIKA Development“ plėtros departamento direktorius Tomas Žiaugra.</t>
        </is>
      </c>
      <c r="G41" s="2" t="n">
        <v>1072624</v>
      </c>
      <c r="H41" s="2" t="n">
        <v>0</v>
      </c>
      <c r="I41" s="2" t="n">
        <v>0</v>
      </c>
      <c r="J41" s="2" t="n">
        <v>0</v>
      </c>
      <c r="K41" s="2" t="n"/>
      <c r="L41" s="2" t="inlineStr"/>
      <c r="M41" s="2" t="inlineStr"/>
      <c r="N41" s="2" t="inlineStr">
        <is>
          <t>Lithuania</t>
        </is>
      </c>
      <c r="O41" s="7" t="n">
        <v>9921.77</v>
      </c>
      <c r="P41" s="2" t="n">
        <v>70</v>
      </c>
      <c r="Q41" s="2" t="n"/>
    </row>
    <row r="42">
      <c r="A42" s="2" t="inlineStr">
        <is>
          <t>„EIKA Development“ Visoriuose pradeda 500 naujų butų projekto „Miško sprintas“ pardavimus</t>
        </is>
      </c>
      <c r="B42" s="2">
        <f>HYPERLINK("https://sc.bns.lt/view/item/eika-development-visoriuose-pradeda-500-nauju-butu-projekto-misko-sprintas-pardavimus-521739")</f>
        <v/>
      </c>
      <c r="C42" s="2" t="inlineStr"/>
      <c r="D42" s="2" t="inlineStr">
        <is>
          <t>Baltic News Service (Lithuania)</t>
        </is>
      </c>
      <c r="E42" s="8" t="n">
        <v>46028.07540509259</v>
      </c>
      <c r="F42" s="2" t="inlineStr">
        <is>
          <t>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t>
        </is>
      </c>
      <c r="G42" s="2" t="n">
        <v>32397</v>
      </c>
      <c r="H42" s="2" t="n">
        <v>0</v>
      </c>
      <c r="I42" s="2" t="n">
        <v>0</v>
      </c>
      <c r="J42" s="2" t="n">
        <v>0</v>
      </c>
      <c r="K42" s="2" t="n"/>
      <c r="L42" s="2" t="inlineStr">
        <is>
          <t>Vilnius</t>
        </is>
      </c>
      <c r="M42" s="2" t="inlineStr"/>
      <c r="N42" s="2" t="inlineStr">
        <is>
          <t>Lithuania</t>
        </is>
      </c>
      <c r="O42" s="7" t="n">
        <v>299.67</v>
      </c>
      <c r="P42" s="2" t="n">
        <v>55</v>
      </c>
      <c r="Q42" s="2" t="n"/>
    </row>
    <row r="43">
      <c r="A43" s="2" t="inlineStr">
        <is>
          <t>Statybunaujienos.lt - „EIKA Development“ Visoriuose pasiūlys dar 500 naujų butų, prdavimai jau startuoja</t>
        </is>
      </c>
      <c r="B43" s="2">
        <f>HYPERLINK("https://www.statybunaujienos.lt/naujiena/EIKA-Development-Visoriuose-pasiulys-dar-500-nauju-butu-prdavimai-jau-startuoja/25847")</f>
        <v/>
      </c>
      <c r="C43" s="2" t="inlineStr"/>
      <c r="D43" s="2" t="inlineStr">
        <is>
          <t>statybunaujienos.lt</t>
        </is>
      </c>
      <c r="E43" s="8" t="n">
        <v>46028.07145833333</v>
      </c>
      <c r="F43" s="2" t="inlineStr">
        <is>
          <t>2026-01-06 08:39
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t>
        </is>
      </c>
      <c r="G43" s="2" t="n">
        <v>5370</v>
      </c>
      <c r="H43" s="2" t="n">
        <v>0</v>
      </c>
      <c r="I43" s="2" t="n">
        <v>0</v>
      </c>
      <c r="J43" s="2" t="n">
        <v>0</v>
      </c>
      <c r="K43" s="2" t="n"/>
      <c r="L43" s="2" t="inlineStr"/>
      <c r="M43" s="2" t="inlineStr"/>
      <c r="N43" s="2" t="inlineStr">
        <is>
          <t>Lithuania</t>
        </is>
      </c>
      <c r="O43" s="7" t="n">
        <v>49.67</v>
      </c>
      <c r="P43" s="2" t="n">
        <v>27</v>
      </c>
      <c r="Q43" s="2" t="n"/>
    </row>
    <row r="44">
      <c r="A44" s="2" t="inlineStr">
        <is>
          <t>„EIKA“: šiemet Vilniuje galime sulaukti rekordų</t>
        </is>
      </c>
      <c r="B44" s="2">
        <f>HYPERLINK("https://madeinvilnius.lt/verslas/nekilnojamas-turtas/eika-siemet-vilniuje-galime-sulaukti-rekordu/")</f>
        <v/>
      </c>
      <c r="C44" s="2" t="inlineStr"/>
      <c r="D44" s="2" t="inlineStr">
        <is>
          <t>madeinvilnius.lt</t>
        </is>
      </c>
      <c r="E44" s="8" t="n">
        <v>46028</v>
      </c>
      <c r="F44" s="2" t="inlineStr">
        <is>
          <t>„EIKA Development“ plėtros departamento vadovas Tomas Žiaugra prognozuoja, kad 2025-ieji metai buvo tik įsibėgėjimas – šiais metais pardavimų apimtys gali grįžti prie rekordinių skaičių, kokie buvo fiksuoti 2021 metais.</t>
        </is>
      </c>
      <c r="G44" s="2" t="n">
        <v>349239</v>
      </c>
      <c r="H44" s="2" t="n">
        <v>0</v>
      </c>
      <c r="I44" s="2" t="n">
        <v>0</v>
      </c>
      <c r="J44" s="2" t="n">
        <v>16</v>
      </c>
      <c r="K44" s="2" t="n"/>
      <c r="L44" s="2" t="inlineStr"/>
      <c r="M44" s="2" t="inlineStr"/>
      <c r="N44" s="2" t="inlineStr">
        <is>
          <t>Lithuania</t>
        </is>
      </c>
      <c r="O44" s="7" t="n">
        <v>3230.46</v>
      </c>
      <c r="P44" s="2" t="n">
        <v>35</v>
      </c>
      <c r="Q44" s="2" t="n"/>
    </row>
    <row r="45">
      <c r="A45" s="2" t="inlineStr">
        <is>
          <t>„EIKA Development“ Visoriuose pradeda 500 naujų butų projekto „Miško sprintas“ pardavimus</t>
        </is>
      </c>
      <c r="B45" s="2">
        <f>HYPERLINK("https://www.elta.lt/lt/pranesimai-spaudai/eika-development-visoriuose-pradeda-500-nauju-butu-projekto-misko-sprintas-pardavimus-260643")</f>
        <v/>
      </c>
      <c r="C45" s="2" t="inlineStr"/>
      <c r="D45" s="2" t="inlineStr">
        <is>
          <t>elta.lt</t>
        </is>
      </c>
      <c r="E45" s="8" t="n">
        <v>46028</v>
      </c>
      <c r="F45" s="2" t="inlineStr">
        <is>
          <t>Nekilnojamojo turto projektų valdymo bendrovė „EIKA Development“ šalia Visorių miško parko Vilniuje pradeda valdyti naujo projekto „Miško sprintas“ statybas ir pardavimus. Iki 2030–ųjų pabaigos projektas išaugs į daugiau nei 500 butų kvartalą su sporto infrastruktūra gyventojams.</t>
        </is>
      </c>
      <c r="G45" s="2" t="n">
        <v>9121</v>
      </c>
      <c r="H45" s="2" t="n">
        <v>0</v>
      </c>
      <c r="I45" s="2" t="n">
        <v>0</v>
      </c>
      <c r="J45" s="2" t="n">
        <v>0</v>
      </c>
      <c r="K45" s="2" t="n"/>
      <c r="L45" s="2" t="inlineStr"/>
      <c r="M45" s="2" t="inlineStr"/>
      <c r="N45" s="2" t="inlineStr">
        <is>
          <t>Lithuania</t>
        </is>
      </c>
      <c r="O45" s="7" t="n">
        <v>84.37</v>
      </c>
      <c r="P45" s="2" t="n">
        <v>44</v>
      </c>
      <c r="Q45" s="2" t="n"/>
    </row>
    <row r="46">
      <c r="A46" s="2" t="inlineStr">
        <is>
          <t>„EIKA Development“: per metus butų pardavimai Vilniuje išaugo 86 proc.</t>
        </is>
      </c>
      <c r="B46" s="2">
        <f>HYPERLINK("https://www.delfi.lt/projektai/elta/eika-development-per-metus-butu-pardavimai-vilniuje-isaugo-86-proc-120194271")</f>
        <v/>
      </c>
      <c r="C46" s="2" t="inlineStr"/>
      <c r="D46" s="2" t="inlineStr">
        <is>
          <t>DELFI Lithuania</t>
        </is>
      </c>
      <c r="E46" s="8" t="n">
        <v>46027.44306712963</v>
      </c>
      <c r="F46" s="2" t="inlineStr">
        <is>
          <t>„EIKA Development“ plėtros departamento direktorius Tomas Žiaugra pažymi, kad 2025 m. naujų butų pardavimų apimtys artėja prie 2021 m. rodiklių, kai rinkoje buvo fiksuoti rekordiniai pardavimai. Tuomet taip pat buvo užfiksuotas itin aukštas, daugiau nei 20 proc. metinis kainų augimas, tačiau, T.</t>
        </is>
      </c>
      <c r="G46" s="2" t="n">
        <v>1878795</v>
      </c>
      <c r="H46" s="2" t="n">
        <v>0</v>
      </c>
      <c r="I46" s="2" t="n">
        <v>0</v>
      </c>
      <c r="J46" s="2" t="n">
        <v>0</v>
      </c>
      <c r="K46" s="2" t="n"/>
      <c r="L46" s="2" t="inlineStr">
        <is>
          <t>Vilnius</t>
        </is>
      </c>
      <c r="M46" s="2" t="inlineStr"/>
      <c r="N46" s="2" t="inlineStr">
        <is>
          <t>Lithuania</t>
        </is>
      </c>
      <c r="O46" s="7" t="n">
        <v>9393.98</v>
      </c>
      <c r="P46" s="2" t="n">
        <v>81</v>
      </c>
      <c r="Q46" s="2" t="n"/>
    </row>
    <row r="47">
      <c r="A47" s="2" t="inlineStr">
        <is>
          <t>NT atstovai: per metus butų pardavimai Vilniuje išaugo 86 proc.</t>
        </is>
      </c>
      <c r="B47" s="2">
        <f>HYPERLINK("https://www.tv3.lt/naujiena/verslas/nt-atstovai-per-metus-butu-pardavimai-vilniuje-isaugo-86-proc-n1482716")</f>
        <v/>
      </c>
      <c r="C47" s="2" t="inlineStr"/>
      <c r="D47" s="2" t="inlineStr">
        <is>
          <t>TV3 Lithuania</t>
        </is>
      </c>
      <c r="E47" s="8" t="n">
        <v>46027.36503472222</v>
      </c>
      <c r="F47" s="2" t="inlineStr">
        <is>
          <t>., kai pardavimai siekė per 3,1 tūkst. būstų, rodo nekilnojamojo turto (NT) plėtros bendrovės „EIKA Development“ duomenys.
Skelbiama, kad 2025 m.daugiausia butų parduota ekonominėje klasėje – daugiau nei 2,8 tūkst.</t>
        </is>
      </c>
      <c r="G47" s="2" t="n">
        <v>1240858</v>
      </c>
      <c r="H47" s="2" t="n">
        <v>0</v>
      </c>
      <c r="I47" s="2" t="n">
        <v>0</v>
      </c>
      <c r="J47" s="2" t="n">
        <v>0</v>
      </c>
      <c r="K47" s="2" t="n"/>
      <c r="L47" s="2" t="inlineStr">
        <is>
          <t>Vilnius</t>
        </is>
      </c>
      <c r="M47" s="2" t="inlineStr"/>
      <c r="N47" s="2" t="inlineStr">
        <is>
          <t>Lithuania</t>
        </is>
      </c>
      <c r="O47" s="7" t="n">
        <v>11477.94</v>
      </c>
      <c r="P47" s="2" t="n">
        <v>60</v>
      </c>
      <c r="Q47" s="2" t="n"/>
    </row>
    <row r="48">
      <c r="A48" s="2" t="inlineStr">
        <is>
          <t>Per metus butų pardavimai Vilniuje išaugo 86 proc.</t>
        </is>
      </c>
      <c r="B48" s="2">
        <f>HYPERLINK("https://www.respublika.lt/lt/naujienos/lietuva/verslas/per-metus-butu-pardavimai-vilniuje-isaugo-86-proc/")</f>
        <v/>
      </c>
      <c r="C48" s="2" t="inlineStr"/>
      <c r="D48" s="2" t="inlineStr">
        <is>
          <t>respublika.lt</t>
        </is>
      </c>
      <c r="E48" s="8" t="n">
        <v>46027.34930555556</v>
      </c>
      <c r="F48" s="2" t="inlineStr">
        <is>
          <t>„EIKA Development“ plėtros departamento direktorius Tomas Žiaugra pažymi, kad 2025 m. naujų butų pardavimų apimtys artėja prie 2021 m. rodiklių, kai rinkoje buvo fiksuoti rekordiniai pardavimai. Tuomet taip pat buvo užfiksuotas itin aukštas, daugiau nei 20 proc. metinis kainų augimas, tačiau, T.</t>
        </is>
      </c>
      <c r="G48" s="2" t="n">
        <v>235492</v>
      </c>
      <c r="H48" s="2" t="n">
        <v>0</v>
      </c>
      <c r="I48" s="2" t="n">
        <v>0</v>
      </c>
      <c r="J48" s="2" t="n">
        <v>0</v>
      </c>
      <c r="K48" s="2" t="n"/>
      <c r="L48" s="2" t="inlineStr"/>
      <c r="M48" s="2" t="inlineStr"/>
      <c r="N48" s="2" t="inlineStr">
        <is>
          <t>Lithuania</t>
        </is>
      </c>
      <c r="O48" s="7" t="n">
        <v>2178.3</v>
      </c>
      <c r="P48" s="2" t="n">
        <v>49</v>
      </c>
      <c r="Q48" s="2" t="n"/>
    </row>
    <row r="49">
      <c r="A49" s="2" t="inlineStr">
        <is>
          <t>Statybunaujienos.lt - 200 mln. eurų investicija į medienos pramonę: kaip „FT Board“ projektas keičia MDP rinkos žemėlapį Baltijos šalyse</t>
        </is>
      </c>
      <c r="B49" s="2">
        <f>HYPERLINK("https://www.statybunaujienos.lt/naujiena/200-mln-euru-investicija-i-medienos-pramone-kaip-FT-Board-projektas-keicia-MDP-rinkos-zemelapi-Baltijos-salyse/25841")</f>
        <v/>
      </c>
      <c r="C49" s="2" t="inlineStr"/>
      <c r="D49" s="2" t="inlineStr">
        <is>
          <t>statybunaujienos.lt</t>
        </is>
      </c>
      <c r="E49" s="8" t="n">
        <v>46027.31508101852</v>
      </c>
      <c r="F49" s="2"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G49" s="2" t="n">
        <v>5370</v>
      </c>
      <c r="H49" s="2" t="n">
        <v>0</v>
      </c>
      <c r="I49" s="2" t="n">
        <v>0</v>
      </c>
      <c r="J49" s="2" t="n">
        <v>1</v>
      </c>
      <c r="K49" s="2" t="n"/>
      <c r="L49" s="2" t="inlineStr"/>
      <c r="M49" s="2" t="inlineStr"/>
      <c r="N49" s="2" t="inlineStr">
        <is>
          <t>Lithuania</t>
        </is>
      </c>
      <c r="O49" s="7" t="n">
        <v>49.67</v>
      </c>
      <c r="P49" s="2" t="n">
        <v>27</v>
      </c>
      <c r="Q49" s="2" t="n"/>
    </row>
    <row r="50">
      <c r="A50" s="2" t="inlineStr">
        <is>
          <t>Dingus tiesioginėms užsienio investicijoms žlugo vienas Lietuvos ekonomikos sektorius</t>
        </is>
      </c>
      <c r="B50" s="2">
        <f>HYPERLINK("https://www.delfi.lt/verslo-poziuris/naujienos/dingus-tiesioginems-uzsienio-investicijoms-zlugo-vienas-lietuvos-ekonomikos-sektorius-120194066")</f>
        <v/>
      </c>
      <c r="C50" s="2" t="inlineStr"/>
      <c r="D50" s="2" t="inlineStr">
        <is>
          <t>DELFI Lithuania</t>
        </is>
      </c>
      <c r="E50" s="8" t="n">
        <v>46027.28978009259</v>
      </c>
      <c r="F50" s="2" t="inlineStr">
        <is>
          <t>Apie tai, kas realiai vyksta NT rinkoje, laidoje „Verslo požiūris“ kalbamės su Martynu Žibūda, „EIKA Development“ generaliniu direktoriumi. 
„Mes, kaip vystytojai, šiuo metu nematome jokių galimybių pradėti naujų biurų statybas, nes matome, kas dedasi.</t>
        </is>
      </c>
      <c r="G50" s="2" t="n">
        <v>1878795</v>
      </c>
      <c r="H50" s="2" t="n">
        <v>0</v>
      </c>
      <c r="I50" s="2" t="n">
        <v>0</v>
      </c>
      <c r="J50" s="2" t="n">
        <v>0</v>
      </c>
      <c r="K50" s="2" t="n"/>
      <c r="L50" s="2" t="inlineStr">
        <is>
          <t>Vilnius</t>
        </is>
      </c>
      <c r="M50" s="2" t="inlineStr"/>
      <c r="N50" s="2" t="inlineStr">
        <is>
          <t>Lithuania</t>
        </is>
      </c>
      <c r="O50" s="7" t="n">
        <v>9393.98</v>
      </c>
      <c r="P50" s="2" t="n">
        <v>81</v>
      </c>
      <c r="Q50" s="2" t="n"/>
    </row>
    <row r="51">
      <c r="A51" s="2" t="inlineStr">
        <is>
          <t>2025-ųjų metų NT pardavimai Vilniuje rodo, kad šiemet galime sulaukti rekordų</t>
        </is>
      </c>
      <c r="B51" s="2">
        <f>HYPERLINK("https://www.lrytas.lt/bustas/nekilnojamasis-turtas/2026/01/05/news/2025-uju-metu-nt-pardavimai-vilniuje-rodo-kad-siemet-galime-sulaukti-rekordu-40844651")</f>
        <v/>
      </c>
      <c r="C51" s="2" t="inlineStr"/>
      <c r="D51" s="2" t="inlineStr">
        <is>
          <t>lrytas.lt</t>
        </is>
      </c>
      <c r="E51" s="8" t="n">
        <v>46027.23350694445</v>
      </c>
      <c r="F51" s="2" t="inlineStr">
        <is>
          <t>„EIKA Development“ rinkos dalis 2025 m. sudarė 9,4 proc., tai yra, 2 proc. mažiau nei 2024 m., kai šis grupės rodiklis buvo rekordiškai aukštas, bet buvo pasirašytas rekordinis kiekis preliminarių būsto pardavimo sutarčių – net 540 vnt.
Benrovės plėtros departamento direktorius T.</t>
        </is>
      </c>
      <c r="G51" s="2" t="n">
        <v>1072624</v>
      </c>
      <c r="H51" s="2" t="n">
        <v>0</v>
      </c>
      <c r="I51" s="2" t="n">
        <v>0</v>
      </c>
      <c r="J51" s="2" t="n">
        <v>0</v>
      </c>
      <c r="K51" s="2" t="n"/>
      <c r="L51" s="2" t="inlineStr"/>
      <c r="M51" s="2" t="inlineStr"/>
      <c r="N51" s="2" t="inlineStr">
        <is>
          <t>Lithuania</t>
        </is>
      </c>
      <c r="O51" s="7" t="n">
        <v>9921.77</v>
      </c>
      <c r="P51" s="2" t="n">
        <v>70</v>
      </c>
      <c r="Q51" s="2" t="n"/>
    </row>
    <row r="52">
      <c r="A52" s="2" t="inlineStr">
        <is>
          <t>„EIKA Development“: 2025-ųjų metų NT pardavimai Vilniuje rodo, kad šiemet galime sulaukti rekordų</t>
        </is>
      </c>
      <c r="B52" s="2">
        <f>HYPERLINK("https://sc.bns.lt/view/item/eika-development-2025-uju-metu-nt-pardavimai-vilniuje-rodo-kad-siemet-galime-sulaukti-rekordu-521702")</f>
        <v/>
      </c>
      <c r="C52" s="2" t="inlineStr"/>
      <c r="D52" s="2" t="inlineStr">
        <is>
          <t>Baltic News Service (Lithuania)</t>
        </is>
      </c>
      <c r="E52" s="8" t="n">
        <v>46027.17368055556</v>
      </c>
      <c r="F52" s="2" t="inlineStr">
        <is>
          <t>„EIKA Development“ plėtros departamento vadovas Tomas Žiaugra prognozuoja, kad 2025-ieji metai buvo tik įsibėgėjimas – šiais metais pardavimų apimtys gali grįžti prie rekordinių skaičių, kokie buvo fiksuoti 2021 metais.</t>
        </is>
      </c>
      <c r="G52" s="2" t="n">
        <v>32397</v>
      </c>
      <c r="H52" s="2" t="n">
        <v>0</v>
      </c>
      <c r="I52" s="2" t="n">
        <v>0</v>
      </c>
      <c r="J52" s="2" t="n">
        <v>0</v>
      </c>
      <c r="K52" s="2" t="n"/>
      <c r="L52" s="2" t="inlineStr">
        <is>
          <t>Vilnius</t>
        </is>
      </c>
      <c r="M52" s="2" t="inlineStr"/>
      <c r="N52" s="2" t="inlineStr">
        <is>
          <t>Lithuania</t>
        </is>
      </c>
      <c r="O52" s="7" t="n">
        <v>299.67</v>
      </c>
      <c r="P52" s="2" t="n">
        <v>55</v>
      </c>
      <c r="Q52" s="2" t="n"/>
    </row>
    <row r="53">
      <c r="A53" s="2" t="inlineStr">
        <is>
          <t>Pašilaičiuose pernai parduota 7 proc. visų Vilniaus naujos statybos butų</t>
        </is>
      </c>
      <c r="B53" s="2">
        <f>HYPERLINK("https://www.delfi.lt/projektai/elta/pasilaiciuose-pernai-parduota-7-proc-visu-vilniaus-naujos-statybos-butu-120193966")</f>
        <v/>
      </c>
      <c r="C53" s="2" t="inlineStr"/>
      <c r="D53" s="2" t="inlineStr">
        <is>
          <t>DELFI Lithuania</t>
        </is>
      </c>
      <c r="E53" s="8" t="n">
        <v>46027.16181712963</v>
      </c>
      <c r="F53" s="2" t="inlineStr">
        <is>
          <t>Pasak „EIKA Development“ plėtros direktoriaus Tomo Žiaugros, naujakuriai vertina Pašilaičiuose gerėjančią infrastruktūrą.</t>
        </is>
      </c>
      <c r="G53" s="2" t="n">
        <v>1878795</v>
      </c>
      <c r="H53" s="2" t="n">
        <v>0</v>
      </c>
      <c r="I53" s="2" t="n">
        <v>0</v>
      </c>
      <c r="J53" s="2" t="n">
        <v>0</v>
      </c>
      <c r="K53" s="2" t="n"/>
      <c r="L53" s="2" t="inlineStr">
        <is>
          <t>Vilnius</t>
        </is>
      </c>
      <c r="M53" s="2" t="inlineStr"/>
      <c r="N53" s="2" t="inlineStr">
        <is>
          <t>Lithuania</t>
        </is>
      </c>
      <c r="O53" s="7" t="n">
        <v>9393.98</v>
      </c>
      <c r="P53" s="2" t="n">
        <v>81</v>
      </c>
      <c r="Q53" s="2" t="n"/>
    </row>
    <row r="54">
      <c r="A54" s="2" t="inlineStr">
        <is>
          <t>Statybunaujienos.lt - „EIKA Development“: naujų butų pardavimai Vilniuje sparčiai artėja prie rekordinio lygio</t>
        </is>
      </c>
      <c r="B54" s="2">
        <f>HYPERLINK("https://www.statybunaujienos.lt/naujiena/EIKA-Development-nauju-butu-pardavimai-Vilniuje-sparciai-arteja-prie-rekordinio-lygio/25837")</f>
        <v/>
      </c>
      <c r="C54" s="2" t="inlineStr"/>
      <c r="D54" s="2" t="inlineStr">
        <is>
          <t>statybunaujienos.lt</t>
        </is>
      </c>
      <c r="E54" s="8" t="n">
        <v>46027.1575</v>
      </c>
      <c r="F54" s="2" t="inlineStr">
        <is>
          <t>„EIKA Development“ plėtros departamento vadovas Tomas Žiaugra prognozuoja, kad 2025-ieji metai buvo tik įsibėgėjimas – šiais metais pardavimų apimtys gali grįžti prie rekordinių skaičių, kokie buvo fiksuoti 2021 metais.
„EIKA Development“ plėtros departamento direktorius T. Žiaugra. Įmonės nuotr.</t>
        </is>
      </c>
      <c r="G54" s="2" t="n">
        <v>5370</v>
      </c>
      <c r="H54" s="2" t="n">
        <v>0</v>
      </c>
      <c r="I54" s="2" t="n">
        <v>0</v>
      </c>
      <c r="J54" s="2" t="n">
        <v>0</v>
      </c>
      <c r="K54" s="2" t="n"/>
      <c r="L54" s="2" t="inlineStr"/>
      <c r="M54" s="2" t="inlineStr"/>
      <c r="N54" s="2" t="inlineStr">
        <is>
          <t>Lithuania</t>
        </is>
      </c>
      <c r="O54" s="7" t="n">
        <v>49.67</v>
      </c>
      <c r="P54" s="2" t="n">
        <v>27</v>
      </c>
      <c r="Q54" s="2" t="n"/>
    </row>
    <row r="55">
      <c r="A55" s="2" t="inlineStr">
        <is>
          <t>„EIKA Development“: 2025-ųjų metų NT pardavimai Vilniuje rodo, kad šiemet galime sulaukti rekordų</t>
        </is>
      </c>
      <c r="B55" s="2">
        <f>HYPERLINK("https://www.15min.lt/verslas/naujiena/bns-spaudos-centras/eika-development-2025-uju-metu-nt-pardavimai-vilniuje-rodo-kad-siemet-galime-sulaukti-rekordu-521702")</f>
        <v/>
      </c>
      <c r="C55" s="2" t="inlineStr"/>
      <c r="D55" s="2" t="inlineStr">
        <is>
          <t>15min</t>
        </is>
      </c>
      <c r="E55" s="8" t="n">
        <v>46027.15590277778</v>
      </c>
      <c r="F55" s="2" t="inlineStr">
        <is>
          <t>„EIKA Development“ rinkos dalis 2025 m. sudarė 9,4 proc., tai yra, 2 proc. mažiau nei 2024 m., kai šis grupės rodiklis buvo rekordiškai aukštas, bet buvo pasirašytas rekordinis kiekis preliminarių būsto pardavimo sutarčių – net 540 vnt.
 „EIKA Development“ plėtros departamento direktorius T.</t>
        </is>
      </c>
      <c r="G55" s="2" t="n">
        <v>1426746</v>
      </c>
      <c r="H55" s="2" t="n">
        <v>0</v>
      </c>
      <c r="I55" s="2" t="n">
        <v>0</v>
      </c>
      <c r="J55" s="2" t="n">
        <v>0</v>
      </c>
      <c r="K55" s="2" t="n"/>
      <c r="L55" s="2" t="inlineStr">
        <is>
          <t>Vilnius</t>
        </is>
      </c>
      <c r="M55" s="2" t="inlineStr">
        <is>
          <t>Vilniaus Apskritis</t>
        </is>
      </c>
      <c r="N55" s="2" t="inlineStr">
        <is>
          <t>Lithuania</t>
        </is>
      </c>
      <c r="O55" s="7" t="n">
        <v>13197.4</v>
      </c>
      <c r="P55" s="2" t="n">
        <v>74</v>
      </c>
      <c r="Q55" s="2" t="n"/>
    </row>
    <row r="56">
      <c r="A56" s="2" t="inlineStr">
        <is>
          <t>Pašilaičiuose pernai parduota 7 proc. visų Vilniaus naujos statybos butų</t>
        </is>
      </c>
      <c r="B56" s="2">
        <f>HYPERLINK("https://vilniauskrastas.lt/pasilaiciuose-pernai-parduota-7-proc-visu-vilniaus-naujos-statybos-butu/")</f>
        <v/>
      </c>
      <c r="C56" s="2" t="inlineStr">
        <is>
          <t>Edita Liškauskė</t>
        </is>
      </c>
      <c r="D56" s="2" t="inlineStr">
        <is>
          <t>vilniauskrastas.lt</t>
        </is>
      </c>
      <c r="E56" s="8" t="n">
        <v>46027.08883101852</v>
      </c>
      <c r="F56" s="2" t="inlineStr">
        <is>
          <t>Sostinės Pašilaičių mikrorajone pastarąjį dešimtmetį gyventojų skaičius auga po 850 žmonių per metus, o pernai jame buvo parduota 7 proc. visų Vilniaus naujos statybos butų, rodo nekilnojamojo turto (NT) plėtros bendrovės „EIKA Development“ statistika.</t>
        </is>
      </c>
      <c r="G56" s="2" t="n"/>
      <c r="H56" s="2" t="n">
        <v>0</v>
      </c>
      <c r="I56" s="2" t="n">
        <v>0</v>
      </c>
      <c r="J56" s="2" t="n">
        <v>0</v>
      </c>
      <c r="K56" s="2" t="n"/>
      <c r="L56" s="2" t="inlineStr"/>
      <c r="M56" s="2" t="inlineStr"/>
      <c r="N56" s="2" t="inlineStr">
        <is>
          <t>Lithuania</t>
        </is>
      </c>
      <c r="O56" s="2" t="n"/>
      <c r="P56" s="2" t="n">
        <v>17</v>
      </c>
      <c r="Q56" s="2" t="n"/>
    </row>
    <row r="57">
      <c r="A57" s="2" t="inlineStr">
        <is>
          <t>Pašilaičiuose pernai parduota 7 proc. visų Vilniaus naujos statybos butų</t>
        </is>
      </c>
      <c r="B57" s="2">
        <f>HYPERLINK("https://madeinvilnius.lt/verslas/nekilnojamas-turtas/pasilaiciuose-pernai-parduota-7-proc-visu-vilniaus-naujos-statybos-butu/")</f>
        <v/>
      </c>
      <c r="C57" s="2" t="inlineStr"/>
      <c r="D57" s="2" t="inlineStr">
        <is>
          <t>madeinvilnius.lt</t>
        </is>
      </c>
      <c r="E57" s="8" t="n">
        <v>46027.03125</v>
      </c>
      <c r="F57" s="2" t="inlineStr">
        <is>
          <t>Sostinės Pašilaičių mikrorajone pastarąjį dešimtmetį gyventojų skaičius auga po 850 žmonių per metus, o pernai jame buvo parduota 7 proc. visų Vilniaus naujos statybos butų, rodo nekilnojamojo turto (NT) plėtros bendrovės „EIKA Development“ statistika.</t>
        </is>
      </c>
      <c r="G57" s="2" t="n">
        <v>349239</v>
      </c>
      <c r="H57" s="2" t="n">
        <v>0</v>
      </c>
      <c r="I57" s="2" t="n">
        <v>0</v>
      </c>
      <c r="J57" s="2" t="n">
        <v>16</v>
      </c>
      <c r="K57" s="2" t="n"/>
      <c r="L57" s="2" t="inlineStr"/>
      <c r="M57" s="2" t="inlineStr"/>
      <c r="N57" s="2" t="inlineStr">
        <is>
          <t>Lithuania</t>
        </is>
      </c>
      <c r="O57" s="7" t="n">
        <v>3230.46</v>
      </c>
      <c r="P57" s="2" t="n">
        <v>35</v>
      </c>
      <c r="Q57" s="2" t="n"/>
    </row>
    <row r="58">
      <c r="A58" s="2" t="inlineStr">
        <is>
          <t>„EIKA Development“: 2025-ųjų metų NT pardavimai Vilniuje rodo, kad šiemet galime sulaukti rekordų</t>
        </is>
      </c>
      <c r="B58" s="2">
        <f>HYPERLINK("https://www.elta.lt/lt/pranesimai-spaudai/eika-development-2025-uju-metu-nt-pardavimai-vilniuje-rodo-kad-siemet-galime-sulaukti-rekordu-260628")</f>
        <v/>
      </c>
      <c r="C58" s="2" t="inlineStr"/>
      <c r="D58" s="2" t="inlineStr">
        <is>
          <t>elta.lt</t>
        </is>
      </c>
      <c r="E58" s="8" t="n">
        <v>46027</v>
      </c>
      <c r="F58" s="2" t="inlineStr">
        <is>
          <t>„EIKA Development“ plėtros departamento vadovas Tomas Žiaugra prognozuoja, kad 2025-ieji metai buvo tik įsibėgėjimas – šiais metais pardavimų apimtys gali grįžti prie rekordinių skaičių, kokie buvo fiksuoti 2021 metais.</t>
        </is>
      </c>
      <c r="G58" s="2" t="n">
        <v>9121</v>
      </c>
      <c r="H58" s="2" t="n">
        <v>0</v>
      </c>
      <c r="I58" s="2" t="n">
        <v>0</v>
      </c>
      <c r="J58" s="2" t="n">
        <v>0</v>
      </c>
      <c r="K58" s="2" t="n"/>
      <c r="L58" s="2" t="inlineStr"/>
      <c r="M58" s="2" t="inlineStr"/>
      <c r="N58" s="2" t="inlineStr">
        <is>
          <t>Lithuania</t>
        </is>
      </c>
      <c r="O58" s="7" t="n">
        <v>84.37</v>
      </c>
      <c r="P58" s="2" t="n">
        <v>44</v>
      </c>
      <c r="Q58" s="2" t="n"/>
    </row>
    <row r="59">
      <c r="A59" s="2" t="inlineStr">
        <is>
          <t>Šioje Vilniaus vietoje gyventojai vis dažniau perka būstą: įvardijo priežastis</t>
        </is>
      </c>
      <c r="B59" s="2">
        <f>HYPERLINK("https://www.tv3.lt/naujiena/verslas/sioje-vilniaus-vietoje-gyventojai-vis-dazniau-perka-busta-ivardijo-priezastis-n1482429")</f>
        <v/>
      </c>
      <c r="C59" s="2" t="inlineStr"/>
      <c r="D59" s="2" t="inlineStr">
        <is>
          <t>TV3 Lithuania</t>
        </is>
      </c>
      <c r="E59" s="8" t="n">
        <v>46026.3744212963</v>
      </c>
      <c r="F59" s="2" t="inlineStr">
        <is>
          <t>Sostinės Pašilaičių mikrorajone pastarąjį dešimtmetį gyventojų skaičius auga po 850 žmonių per metus, o pernai jame buvo parduota 7 proc. visų Vilniaus naujos statybos butų, rodo nekilnojamojo turto (NT) plėtros bendrovės „EIKA Development“ statistika.</t>
        </is>
      </c>
      <c r="G59" s="2" t="n">
        <v>1240858</v>
      </c>
      <c r="H59" s="2" t="n">
        <v>0</v>
      </c>
      <c r="I59" s="2" t="n">
        <v>0</v>
      </c>
      <c r="J59" s="2" t="n">
        <v>0</v>
      </c>
      <c r="K59" s="2" t="n"/>
      <c r="L59" s="2" t="inlineStr">
        <is>
          <t>Vilnius</t>
        </is>
      </c>
      <c r="M59" s="2" t="inlineStr"/>
      <c r="N59" s="2" t="inlineStr">
        <is>
          <t>Lithuania</t>
        </is>
      </c>
      <c r="O59" s="7" t="n">
        <v>11477.94</v>
      </c>
      <c r="P59" s="2" t="n">
        <v>60</v>
      </c>
      <c r="Q59" s="2" t="n"/>
    </row>
    <row r="60">
      <c r="A60" s="2" t="inlineStr">
        <is>
          <t>Vilniuje ir Kaune prognozuojamas būsto paklausos bei kainų augimas</t>
        </is>
      </c>
      <c r="B60" s="2">
        <f>HYPERLINK("https://vilniauskrastas.lt/vilniuje-ir-kaune-prognozuojamas-busto-paklausos-bei-kainu-augimas/")</f>
        <v/>
      </c>
      <c r="C60" s="2" t="inlineStr">
        <is>
          <t>Edita Liškauskė</t>
        </is>
      </c>
      <c r="D60" s="2" t="inlineStr">
        <is>
          <t>vilniauskrastas.lt</t>
        </is>
      </c>
      <c r="E60" s="8" t="n">
        <v>46023.12298611111</v>
      </c>
      <c r="F60" s="2" t="inlineStr">
        <is>
          <t>., atskleidžia „EIKA Development“ analitikų duomenys. Tai beveik du kartus daugiau nei buvo šiemet. Įmonės plėtros departamento direktorius Tomas Žiaugra atkreipė dėmesį, kad kilsiančių kainų nuojauta ypač sujudino pirkėjus – jaučiamas būsto paklausos augimas.</t>
        </is>
      </c>
      <c r="G60" s="2" t="n"/>
      <c r="H60" s="2" t="n">
        <v>0</v>
      </c>
      <c r="I60" s="2" t="n">
        <v>0</v>
      </c>
      <c r="J60" s="2" t="n">
        <v>0</v>
      </c>
      <c r="K60" s="2" t="n"/>
      <c r="L60" s="2" t="inlineStr"/>
      <c r="M60" s="2" t="inlineStr"/>
      <c r="N60" s="2" t="inlineStr">
        <is>
          <t>Lithuania</t>
        </is>
      </c>
      <c r="O60" s="2" t="n"/>
      <c r="P60" s="2" t="n">
        <v>17</v>
      </c>
      <c r="Q6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2026-02-18T13:12:57Z</dcterms:created>
  <dcterms:modified xmlns:dcterms="http://purl.org/dc/terms/" xmlns:xsi="http://www.w3.org/2001/XMLSchema-instance" xsi:type="dcterms:W3CDTF">2026-02-18T13:12:57Z</dcterms:modified>
</cp:coreProperties>
</file>