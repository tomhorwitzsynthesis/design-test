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quot;$&quot;#,##0.00_-"/>
    <numFmt numFmtId="166" formatCode="YYYY-mm-dd HH:MM:SS"/>
  </numFmts>
  <fonts count="3">
    <font>
      <name val="Calibri"/>
      <family val="2"/>
      <color theme="1"/>
      <sz val="11"/>
      <scheme val="minor"/>
    </font>
    <font>
      <name val="Arial"/>
      <b val="1"/>
      <sz val="10"/>
    </font>
    <font>
      <name val="Arial"/>
      <sz val="10"/>
    </font>
  </fonts>
  <fills count="2">
    <fill>
      <patternFill/>
    </fill>
    <fill>
      <patternFill patternType="gray125"/>
    </fill>
  </fills>
  <borders count="2">
    <border>
      <left/>
      <right/>
      <top/>
      <bottom/>
      <diagonal/>
    </border>
    <border/>
  </borders>
  <cellStyleXfs count="6">
    <xf numFmtId="0" fontId="0" fillId="0" borderId="0"/>
    <xf numFmtId="0" fontId="1" fillId="0" borderId="1"/>
    <xf numFmtId="0" fontId="2" fillId="0" borderId="1" applyAlignment="1">
      <alignment vertical="top" wrapText="1"/>
    </xf>
    <xf numFmtId="164" fontId="2" fillId="0" borderId="1" applyAlignment="1">
      <alignment vertical="top" wrapText="1"/>
    </xf>
    <xf numFmtId="165" fontId="2" fillId="0" borderId="1" applyAlignment="1">
      <alignment vertical="top" wrapText="1"/>
    </xf>
    <xf numFmtId="166" fontId="2" fillId="0" borderId="1" applyAlignment="1">
      <alignment vertical="top" wrapText="1"/>
    </xf>
  </cellStyleXfs>
  <cellXfs count="9">
    <xf numFmtId="0" fontId="0" fillId="0" borderId="0" pivotButton="0" quotePrefix="0" xfId="0"/>
    <xf numFmtId="0" fontId="1" fillId="0" borderId="1" pivotButton="0" quotePrefix="0" xfId="1"/>
    <xf numFmtId="0" fontId="2" fillId="0" borderId="1" applyAlignment="1" pivotButton="0" quotePrefix="0" xfId="2">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cellXfs>
  <cellStyles count="6">
    <cellStyle name="Normal" xfId="0" builtinId="0" hidden="0"/>
    <cellStyle name="mr_header" xfId="1" hidden="0"/>
    <cellStyle name="mr_normal" xfId="2" hidden="0"/>
    <cellStyle name="mr_date" xfId="3" hidden="0"/>
    <cellStyle name="mr_currency" xfId="4" hidden="0"/>
    <cellStyle name="mr_datetim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32" customWidth="1" min="2" max="2"/>
  </cols>
  <sheetData>
    <row r="1">
      <c r="A1" s="1" t="inlineStr">
        <is>
          <t>Report</t>
        </is>
      </c>
      <c r="B1" s="2" t="inlineStr">
        <is>
          <t>Darnu</t>
        </is>
      </c>
    </row>
    <row r="2">
      <c r="A2" s="1" t="inlineStr">
        <is>
          <t>URL</t>
        </is>
      </c>
      <c r="B2" s="2">
        <f>HYPERLINK("https://particle-agency.muckrack.com/coverage-reports/gnZF/edit/")</f>
        <v/>
      </c>
    </row>
    <row r="3">
      <c r="A3" s="1" t="inlineStr">
        <is>
          <t>Exported On</t>
        </is>
      </c>
      <c r="B3" s="6" t="n">
        <v>46071</v>
      </c>
    </row>
    <row r="4">
      <c r="A4" s="1" t="inlineStr">
        <is>
          <t>Generated By</t>
        </is>
      </c>
      <c r="B4" s="2" t="inlineStr">
        <is>
          <t>Ieva Mackeviciute</t>
        </is>
      </c>
    </row>
    <row r="6">
      <c r="A6" s="1" t="inlineStr">
        <is>
          <t>Links</t>
        </is>
      </c>
      <c r="B6" s="2" t="n">
        <v>53</v>
      </c>
    </row>
    <row r="7">
      <c r="A7" s="1" t="inlineStr">
        <is>
          <t>Total Engagement</t>
        </is>
      </c>
      <c r="B7" s="2" t="n">
        <v>154</v>
      </c>
    </row>
    <row r="8">
      <c r="A8" s="1" t="inlineStr">
        <is>
          <t>Average Engagement</t>
        </is>
      </c>
      <c r="B8" s="2" t="n">
        <v>2</v>
      </c>
    </row>
    <row r="9">
      <c r="A9" s="1" t="inlineStr">
        <is>
          <t>Total UVM (Insights by Similarweb)</t>
        </is>
      </c>
      <c r="B9" s="2" t="n">
        <v>38718177</v>
      </c>
    </row>
    <row r="10">
      <c r="A10" s="1" t="inlineStr">
        <is>
          <t>Total AVE</t>
        </is>
      </c>
      <c r="B10" s="7" t="n">
        <v>318218.72</v>
      </c>
    </row>
    <row r="11">
      <c r="A11" s="1" t="inlineStr">
        <is>
          <t>Total Journalist Shares</t>
        </is>
      </c>
      <c r="B11" s="2" t="n">
        <v>0</v>
      </c>
    </row>
    <row r="12">
      <c r="A12" s="1" t="inlineStr">
        <is>
          <t>Total Journalist Reach</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4"/>
  <sheetViews>
    <sheetView workbookViewId="0">
      <selection activeCell="A1" sqref="A1"/>
    </sheetView>
  </sheetViews>
  <sheetFormatPr baseColWidth="8" defaultRowHeight="15"/>
  <cols>
    <col width="48" customWidth="1" min="1" max="1"/>
    <col width="32" customWidth="1" min="2" max="2"/>
    <col width="24" customWidth="1" min="3" max="3"/>
    <col width="24" customWidth="1" min="4" max="4"/>
    <col width="19" customWidth="1" min="5" max="5"/>
    <col width="48" customWidth="1" min="6" max="6"/>
    <col width="28" customWidth="1" min="7" max="7"/>
    <col width="17" customWidth="1" min="8" max="8"/>
    <col width="16" customWidth="1" min="9" max="9"/>
    <col width="16" customWidth="1" min="10" max="10"/>
    <col width="13" customWidth="1" min="11" max="11"/>
    <col width="17" customWidth="1" min="12" max="12"/>
    <col width="19" customWidth="1" min="13" max="13"/>
    <col width="24" customWidth="1" min="14" max="14"/>
    <col width="29" customWidth="1" min="15" max="15"/>
    <col width="34" customWidth="1" min="16" max="16"/>
    <col width="24" customWidth="1" min="17" max="17"/>
  </cols>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row>
    <row r="2">
      <c r="A2" s="2" t="inlineStr">
        <is>
          <t>„Paupio turgus“ pernai išlaikė stabilų lankytojų srautą ir sugeneravo 7,5 mln. Eur apyvartą</t>
        </is>
      </c>
      <c r="B2" s="2">
        <f>HYPERLINK("https://sc.bns.lt/view/item/paupio-turgus-pernai-islaike-stabilu-lankytoju-srauta-ir-sugeneravo-7-5-mln-eur-apyvarta-523161")</f>
        <v/>
      </c>
      <c r="C2" s="2" t="inlineStr"/>
      <c r="D2" s="2" t="inlineStr">
        <is>
          <t>Baltic News Service (Lithuania)</t>
        </is>
      </c>
      <c r="E2" s="8" t="n">
        <v>46052.45972222222</v>
      </c>
      <c r="F2" s="2" t="inlineStr">
        <is>
          <t>„2025-aisiais mūsų tikslas buvo išlaikyti veiklos stabilumą ir nuosekliai plėsti pasiūlą, prisitaikant prie to, kaip keičiasi rinka ir lankytojų įpročiai“, – komentuoja „Darnu Group“ restoranų veiklos ir plėtros vadovė Anželika Šiško.</t>
        </is>
      </c>
      <c r="G2" s="2" t="n">
        <v>32397</v>
      </c>
      <c r="H2" s="2" t="n"/>
      <c r="I2" s="2" t="n"/>
      <c r="J2" s="2" t="n"/>
      <c r="K2" s="2" t="n"/>
      <c r="L2" s="2" t="inlineStr">
        <is>
          <t>Vilnius</t>
        </is>
      </c>
      <c r="M2" s="2" t="inlineStr"/>
      <c r="N2" s="2" t="inlineStr">
        <is>
          <t>Lithuania</t>
        </is>
      </c>
      <c r="O2" s="7" t="n">
        <v>299.67</v>
      </c>
      <c r="P2" s="2" t="n">
        <v>55</v>
      </c>
      <c r="Q2" s="2" t="n"/>
    </row>
    <row r="3">
      <c r="A3" s="2" t="inlineStr">
        <is>
          <t>„Paupio turgus“ pernai išlaikė stabilų lankytojų srautą ir sugeneravo 7,5 mln. Eur apyvartą</t>
        </is>
      </c>
      <c r="B3" s="2">
        <f>HYPERLINK("https://www.litas.lt/paupio-turgus-pernai-islaike-stabilu-lankytoju-srauta-ir-sugeneravo-75-mln-eur-apyvarta/")</f>
        <v/>
      </c>
      <c r="C3" s="2" t="inlineStr"/>
      <c r="D3" s="2" t="inlineStr">
        <is>
          <t>litas.lt</t>
        </is>
      </c>
      <c r="E3" s="8" t="n">
        <v>46052.19350694444</v>
      </c>
      <c r="F3" s="2" t="inlineStr">
        <is>
          <t>„Darnu Group“ įmonių grupės valdomos gastronominės erdvės „Paupio turgus“ nuomininkų apyvarta 2025-aisiais metais augo 200 tūkst. eurų ir pasiekė 7,5 mln., o lankytojų skaičius išliko stabilus – po šios gastronominės erdvės stogu įsikūrę 17 restoranų ir 3 barai sulaukė 1,4 mln. lankytojų.</t>
        </is>
      </c>
      <c r="G3" s="2" t="n">
        <v>825</v>
      </c>
      <c r="H3" s="2" t="n">
        <v>0</v>
      </c>
      <c r="I3" s="2" t="n">
        <v>0</v>
      </c>
      <c r="J3" s="2" t="n">
        <v>0</v>
      </c>
      <c r="K3" s="2" t="n"/>
      <c r="L3" s="2" t="inlineStr"/>
      <c r="M3" s="2" t="inlineStr"/>
      <c r="N3" s="2" t="inlineStr">
        <is>
          <t>Lithuania</t>
        </is>
      </c>
      <c r="O3" s="7" t="n">
        <v>7.63</v>
      </c>
      <c r="P3" s="2" t="n">
        <v>24</v>
      </c>
      <c r="Q3" s="2" t="n"/>
    </row>
    <row r="4">
      <c r="A4" s="2" t="inlineStr">
        <is>
          <t>Paupio Turgus food court maintained stable visitor traffic and generated a turnover of EUR 7.5 million last year.</t>
        </is>
      </c>
      <c r="B4" s="2">
        <f>HYPERLINK("https://www.lrytas.lt/english/business-tribune/2026/01/30/news/paupio-turgus-food-court-maintained-stable-visitor-traffic-and-generated-a-turnover-of-eur-7-5-million-last-year--41152567")</f>
        <v/>
      </c>
      <c r="C4" s="2" t="inlineStr"/>
      <c r="D4" s="2" t="inlineStr">
        <is>
          <t>lrytas.lt</t>
        </is>
      </c>
      <c r="E4" s="8" t="n">
        <v>46052.11712962963</v>
      </c>
      <c r="F4" s="2" t="inlineStr">
        <is>
          <t>„In 2025, our goal was to maintain the stability of our operations and consistently expand our offers, adapting to changes in the market and visitor habits,“ comments Anželika Šiško, Head of Restaurant Operations and Development at Darnu Group.</t>
        </is>
      </c>
      <c r="G4" s="2" t="n">
        <v>1072624</v>
      </c>
      <c r="H4" s="2" t="n">
        <v>0</v>
      </c>
      <c r="I4" s="2" t="n">
        <v>0</v>
      </c>
      <c r="J4" s="2" t="n">
        <v>0</v>
      </c>
      <c r="K4" s="2" t="inlineStr">
        <is>
          <t>Positive</t>
        </is>
      </c>
      <c r="L4" s="2" t="inlineStr"/>
      <c r="M4" s="2" t="inlineStr"/>
      <c r="N4" s="2" t="inlineStr">
        <is>
          <t>Lithuania</t>
        </is>
      </c>
      <c r="O4" s="7" t="n">
        <v>9921.77</v>
      </c>
      <c r="P4" s="2" t="n">
        <v>70</v>
      </c>
      <c r="Q4" s="2" t="n"/>
    </row>
    <row r="5">
      <c r="A5" s="2" t="inlineStr">
        <is>
          <t>„Paupio turgus“ pernai išlaikė stabilų lankytojų srautą ir sugeneravo 7,5 mln. Eur apyvartą</t>
        </is>
      </c>
      <c r="B5" s="2">
        <f>HYPERLINK("https://www.lrytas.lt/bustas/nekilnojamasis-turtas/2026/01/30/news/-paupio-turgus-pernai-islaike-stabilu-lankytoju-srauta-ir-sugeneravo-7-5-mln-eur-apyvarta-41152407")</f>
        <v/>
      </c>
      <c r="C5" s="2" t="inlineStr"/>
      <c r="D5" s="2" t="inlineStr">
        <is>
          <t>lrytas.lt</t>
        </is>
      </c>
      <c r="E5" s="8" t="n">
        <v>46052.11712962963</v>
      </c>
      <c r="F5" s="2" t="inlineStr">
        <is>
          <t>„2025-aisiais mūsų tikslas buvo išlaikyti veiklos stabilumą ir nuosekliai plėsti pasiūlą, prisitaikant prie to, kaip keičiasi rinka ir lankytojų įpročiai“, – komentuoja „Darnu Group“ restoranų veiklos ir plėtros vadovė Anželika Šiško.</t>
        </is>
      </c>
      <c r="G5" s="2" t="n">
        <v>1072624</v>
      </c>
      <c r="H5" s="2" t="n"/>
      <c r="I5" s="2" t="n"/>
      <c r="J5" s="2" t="n"/>
      <c r="K5" s="2" t="n"/>
      <c r="L5" s="2" t="inlineStr"/>
      <c r="M5" s="2" t="inlineStr"/>
      <c r="N5" s="2" t="inlineStr">
        <is>
          <t>Lithuania</t>
        </is>
      </c>
      <c r="O5" s="7" t="n">
        <v>9921.77</v>
      </c>
      <c r="P5" s="2" t="n">
        <v>70</v>
      </c>
      <c r="Q5" s="2" t="n"/>
    </row>
    <row r="6">
      <c r="A6" s="2" t="inlineStr">
        <is>
          <t>„Paupio turgus“ pernai išlaikė stabilų lankytojų srautą ir sugeneravo 7,5 mln. Eur apyvartą</t>
        </is>
      </c>
      <c r="B6" s="2">
        <f>HYPERLINK("https://www.elta.lt/lt/pranesimai-spaudai/paupio-turgus-pernai-islaike-stabilu-lankytoju-srauta-ir-sugeneravo-75-mln-eur-apyvarta-261205")</f>
        <v/>
      </c>
      <c r="C6" s="2" t="inlineStr"/>
      <c r="D6" s="2" t="inlineStr">
        <is>
          <t>elta.lt</t>
        </is>
      </c>
      <c r="E6" s="8" t="n">
        <v>46052</v>
      </c>
      <c r="F6" s="2" t="inlineStr">
        <is>
          <t xml:space="preserve"> 
„2025-aisiais mūsų tikslas buvo išlaikyti veiklos stabilumą ir nuosekliai plėsti pasiūlą, prisitaikant prie to, kaip keičiasi rinka ir lankytojų įpročiai“, – komentuoja „Darnu Group“ restoranų veiklos ir plėtros vadovė Anželika Šiško.</t>
        </is>
      </c>
      <c r="G6" s="2" t="n">
        <v>9121</v>
      </c>
      <c r="H6" s="2" t="n">
        <v>0</v>
      </c>
      <c r="I6" s="2" t="n">
        <v>0</v>
      </c>
      <c r="J6" s="2" t="n">
        <v>0</v>
      </c>
      <c r="K6" s="2" t="n"/>
      <c r="L6" s="2" t="inlineStr"/>
      <c r="M6" s="2" t="inlineStr"/>
      <c r="N6" s="2" t="inlineStr">
        <is>
          <t>Lithuania</t>
        </is>
      </c>
      <c r="O6" s="7" t="n">
        <v>84.37</v>
      </c>
      <c r="P6" s="2" t="n">
        <v>44</v>
      </c>
      <c r="Q6" s="2" t="n"/>
    </row>
    <row r="7">
      <c r="A7" s="2" t="inlineStr">
        <is>
          <t>5-ąjį gimtadienį pasitinkančio Paupio turgaus nuomininkų pajamos stiebėsi, segmento naujokė Klaipėdoje keičia kryptį  - Verslo žinios</t>
        </is>
      </c>
      <c r="B7" s="2">
        <f>HYPERLINK("https://www.vz.lt/mano-verslas/2026/01/30/5-aji-gimtadieni-pasitinkancio-paupio-turgaus-nuomininku-pajamos-stiebesi-segmento-naujoke-klaipedoje-keicia-krypti-579939")</f>
        <v/>
      </c>
      <c r="C7" s="2" t="inlineStr">
        <is>
          <t>Gabija Sabaliauskaitė</t>
        </is>
      </c>
      <c r="D7" s="2" t="inlineStr">
        <is>
          <t>Verslo Žinios</t>
        </is>
      </c>
      <c r="E7" s="8" t="n">
        <v>46051.94791666666</v>
      </c>
      <c r="F7" s="2" t="inlineStr">
        <is>
          <t>„Darnu Group“ įmonių grupė skaičiuoja, kad jos valdomos gastronominės erdvės Paupio turgaus nuomininkų apyvarta 2025 m. paaugo 200.000 Eur ir pasiekė 7,5 mln. Lankytojų skaičius išliko toks pat kaip ir 2024 m. – 1,4 mln.</t>
        </is>
      </c>
      <c r="G7" s="2" t="n">
        <v>1213714</v>
      </c>
      <c r="H7" s="2" t="n"/>
      <c r="I7" s="2" t="n"/>
      <c r="J7" s="2" t="n"/>
      <c r="K7" s="2" t="n"/>
      <c r="L7" s="2" t="inlineStr">
        <is>
          <t>Vilnius</t>
        </is>
      </c>
      <c r="M7" s="2" t="inlineStr"/>
      <c r="N7" s="2" t="inlineStr">
        <is>
          <t>Lithuania</t>
        </is>
      </c>
      <c r="O7" s="7" t="n">
        <v>11226.85</v>
      </c>
      <c r="P7" s="2" t="n">
        <v>58</v>
      </c>
      <c r="Q7" s="2" t="n"/>
    </row>
    <row r="8">
      <c r="A8" s="2" t="inlineStr">
        <is>
          <t>Statybunaujienos.lt - Pirmieji Baltijos šalyse: viešojo sektoriaus ugdymo pastatai sertifikuoti „BREEAM In-Use“</t>
        </is>
      </c>
      <c r="B8" s="2">
        <f>HYPERLINK("https://www.statybunaujienos.lt/naujiena/Pirmieji-Baltijos-salyse-viesojo-sektoriaus-ugdymo-pastatai-sertifikuoti-BREEAM-In-Use/25992")</f>
        <v/>
      </c>
      <c r="C8" s="2" t="inlineStr"/>
      <c r="D8" s="2" t="inlineStr">
        <is>
          <t>statybunaujienos.lt</t>
        </is>
      </c>
      <c r="E8" s="8" t="n">
        <v>46050.1646412037</v>
      </c>
      <c r="F8" s="2" t="inlineStr">
        <is>
          <t>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t>
        </is>
      </c>
      <c r="G8" s="2" t="n">
        <v>5370</v>
      </c>
      <c r="H8" s="2" t="n">
        <v>0</v>
      </c>
      <c r="I8" s="2" t="n">
        <v>0</v>
      </c>
      <c r="J8" s="2" t="n">
        <v>0</v>
      </c>
      <c r="K8" s="2" t="n"/>
      <c r="L8" s="2" t="inlineStr"/>
      <c r="M8" s="2" t="inlineStr"/>
      <c r="N8" s="2" t="inlineStr">
        <is>
          <t>Lithuania</t>
        </is>
      </c>
      <c r="O8" s="7" t="n">
        <v>49.67</v>
      </c>
      <c r="P8" s="2" t="n">
        <v>27</v>
      </c>
      <c r="Q8" s="2" t="n"/>
    </row>
    <row r="9">
      <c r="A9" s="2" t="inlineStr">
        <is>
          <t>Statybunaujienos.lt - Potvynių pavojus Lietuvoje – patikrinkite, ar jūsų teritorija saugi</t>
        </is>
      </c>
      <c r="B9" s="2">
        <f>HYPERLINK("https://www.statybunaujienos.lt/naujiena/Potvyniu-pavojus-Lietuvoje-patikrinkite-ar-jusu-teritorija-saugi/25987")</f>
        <v/>
      </c>
      <c r="C9" s="2" t="inlineStr"/>
      <c r="D9" s="2" t="inlineStr">
        <is>
          <t>statybunaujienos.lt</t>
        </is>
      </c>
      <c r="E9" s="8" t="n">
        <v>46049.18409722222</v>
      </c>
      <c r="F9" s="2" t="inlineStr">
        <is>
          <t>Ambicingą projektą dar vasarą pradėjo NT plėtros bendrovė „Darnu Group“ kartu su Lietuvos hidrobiologų draugija ir profesionalių narų komanda.</t>
        </is>
      </c>
      <c r="G9" s="2" t="n">
        <v>5370</v>
      </c>
      <c r="H9" s="2" t="n">
        <v>0</v>
      </c>
      <c r="I9" s="2" t="n">
        <v>0</v>
      </c>
      <c r="J9" s="2" t="n">
        <v>16</v>
      </c>
      <c r="K9" s="2" t="n"/>
      <c r="L9" s="2" t="inlineStr"/>
      <c r="M9" s="2" t="inlineStr"/>
      <c r="N9" s="2" t="inlineStr">
        <is>
          <t>Lithuania</t>
        </is>
      </c>
      <c r="O9" s="7" t="n">
        <v>49.67</v>
      </c>
      <c r="P9" s="2" t="n">
        <v>27</v>
      </c>
      <c r="Q9" s="2" t="n"/>
    </row>
    <row r="10">
      <c r="A10" s="2" t="inlineStr">
        <is>
          <t>Statybunaujienos.lt - „Skulas“ investuoja į išmaniųjų verslo parkų plėtrą Šiauliuose – siūlys 61 modernią komercinę patalpą</t>
        </is>
      </c>
      <c r="B10" s="2">
        <f>HYPERLINK("https://www.statybunaujienos.lt/naujiena/Skulas-investuoja-i-ismaniuju-verslo-parku-pletra-Siauliuose-siulys-61-modernia-komercine-patalpa/25986")</f>
        <v/>
      </c>
      <c r="C10" s="2" t="inlineStr"/>
      <c r="D10" s="2" t="inlineStr">
        <is>
          <t>statybunaujienos.lt</t>
        </is>
      </c>
      <c r="E10" s="8" t="n">
        <v>46049.17555555556</v>
      </c>
      <c r="F10" s="2" t="inlineStr">
        <is>
          <t>gamybos grupių Baltijos šalyse AB „Akola group“ per valdomą bendrovę „Vilniaus paukštyną“ vertina galimybę Kaišiadoryse įgyvendinti šalutinių gyvūninių produktų perdirbimo infrastruktūros plėtros projektą, kurio vertė gali siekti iki 34 mln. eurų.
2026-01-26 10:13
Nekilnojamojo turto plėtros bendrovė „Darnu</t>
        </is>
      </c>
      <c r="G10" s="2" t="n">
        <v>5370</v>
      </c>
      <c r="H10" s="2" t="n">
        <v>0</v>
      </c>
      <c r="I10" s="2" t="n">
        <v>0</v>
      </c>
      <c r="J10" s="2" t="n">
        <v>0</v>
      </c>
      <c r="K10" s="2" t="n"/>
      <c r="L10" s="2" t="inlineStr"/>
      <c r="M10" s="2" t="inlineStr"/>
      <c r="N10" s="2" t="inlineStr">
        <is>
          <t>Lithuania</t>
        </is>
      </c>
      <c r="O10" s="7" t="n">
        <v>49.67</v>
      </c>
      <c r="P10" s="2" t="n">
        <v>27</v>
      </c>
      <c r="Q10" s="2" t="n"/>
    </row>
    <row r="11">
      <c r="A11" s="2" t="inlineStr">
        <is>
          <t>Statybunaujienos.lt - „Akola group“ planuoja 34 mln. eurų investiciją Kaišiadoryse: nauja šalutinių gyvūninių produktų perdirbimo gamykla</t>
        </is>
      </c>
      <c r="B11" s="2">
        <f>HYPERLINK("https://www.statybunaujienos.lt/naujiena/Akola-group-planuoja-34-mln-euru-investicija-Kaisiadoryse-nauja-salutiniu-gyvuniniu-produktu-perdirbimo-gamykla/25982")</f>
        <v/>
      </c>
      <c r="C11" s="2" t="inlineStr"/>
      <c r="D11" s="2" t="inlineStr">
        <is>
          <t>statybunaujienos.lt</t>
        </is>
      </c>
      <c r="E11" s="8" t="n">
        <v>46049.07815972222</v>
      </c>
      <c r="F11" s="2" t="inlineStr">
        <is>
          <t>Žymės  Investicinis projektas, Gamykla
2026-01-26 10:13
Nekilnojamojo turto plėtros bendrovė „Darnu Group“ 2026 metais į nekilnojamojo turto projektus planuoja investuoti 84 mln. eurų.</t>
        </is>
      </c>
      <c r="G11" s="2" t="n">
        <v>5370</v>
      </c>
      <c r="H11" s="2" t="n">
        <v>0</v>
      </c>
      <c r="I11" s="2" t="n">
        <v>0</v>
      </c>
      <c r="J11" s="2" t="n">
        <v>0</v>
      </c>
      <c r="K11" s="2" t="n"/>
      <c r="L11" s="2" t="inlineStr"/>
      <c r="M11" s="2" t="inlineStr"/>
      <c r="N11" s="2" t="inlineStr">
        <is>
          <t>Lithuania</t>
        </is>
      </c>
      <c r="O11" s="7" t="n">
        <v>49.67</v>
      </c>
      <c r="P11" s="2" t="n">
        <v>27</v>
      </c>
      <c r="Q11" s="2" t="n"/>
    </row>
    <row r="12">
      <c r="A12" s="2" t="inlineStr">
        <is>
          <t>„Darnu group“ šiemet planuoja 10,6 proc. mažiau investicijų nei pernai</t>
        </is>
      </c>
      <c r="B12" s="2">
        <f>HYPERLINK("https://madeinvilnius.lt/verslas/vilniaus-rinka/darnu-group-siemet-planuoja-106-proc-maziau-investiciju-nei-pernai/")</f>
        <v/>
      </c>
      <c r="C12" s="2" t="inlineStr"/>
      <c r="D12" s="2" t="inlineStr">
        <is>
          <t>madeinvilnius.lt</t>
        </is>
      </c>
      <c r="E12" s="8" t="n">
        <v>46048.96875</v>
      </c>
      <c r="F12" s="2" t="inlineStr">
        <is>
          <t>Nekilnojamojo turto (NT) plėtros bendrovė „Darnu group“ šiemet planuoja 84 mln. eurų investicijas – 10,6 proc. mažiau nei planavo pernai (94 mln. eurų), pranešė portalas „Verslo žinios“.
2026 metais įmonė į būsto projektus ketina investuoti 68 mln. eurų – daugiausia (51 mln. eurų) skirs daugiabučių</t>
        </is>
      </c>
      <c r="G12" s="2" t="n">
        <v>349239</v>
      </c>
      <c r="H12" s="2" t="n"/>
      <c r="I12" s="2" t="n"/>
      <c r="J12" s="2" t="n"/>
      <c r="K12" s="2" t="n"/>
      <c r="L12" s="2" t="inlineStr"/>
      <c r="M12" s="2" t="inlineStr"/>
      <c r="N12" s="2" t="inlineStr">
        <is>
          <t>Lithuania</t>
        </is>
      </c>
      <c r="O12" s="7" t="n">
        <v>3230.46</v>
      </c>
      <c r="P12" s="2" t="n">
        <v>35</v>
      </c>
      <c r="Q12" s="2" t="n"/>
    </row>
    <row r="13">
      <c r="A13" s="2" t="inlineStr">
        <is>
          <t>„Darnu group“ šiemet planuoja 84 mln. eurų investicijas, daugiausia skirs būsto projektams</t>
        </is>
      </c>
      <c r="B13" s="2">
        <f>HYPERLINK("https://www.lrt.lt/naujienos/verslas/4/2818072/darnu-group-siemet-planuoja-84-mln-euru-investicijas-daugiausia-skirs-busto-projektams")</f>
        <v/>
      </c>
      <c r="C13" s="2" t="inlineStr"/>
      <c r="D13" s="2" t="inlineStr">
        <is>
          <t>Lithuanian National Radio and Television (LRT)</t>
        </is>
      </c>
      <c r="E13" s="8" t="n">
        <v>46048.15263888889</v>
      </c>
      <c r="F13" s="2" t="inlineStr">
        <is>
          <t>Nekilnojamojo turto (NT) plėtros bendrovė „Darnu group“ šiemet planuoja 84 mln. eurų investicijas – 10,6 proc. mažiau nei planavo pernai (94 mln. eurų), pranešė portalas „Verslo žinios“.
2026 metais įmonė į būsto projektus ketina investuoti 68 mln. eurų – daugiausia (51 mln. eurų) skirs daugiabučių</t>
        </is>
      </c>
      <c r="G13" s="2" t="n">
        <v>1529307</v>
      </c>
      <c r="H13" s="2" t="n">
        <v>0</v>
      </c>
      <c r="I13" s="2" t="n">
        <v>0</v>
      </c>
      <c r="J13" s="2" t="n">
        <v>0</v>
      </c>
      <c r="K13" s="2" t="n"/>
      <c r="L13" s="2" t="inlineStr">
        <is>
          <t>Vilnius</t>
        </is>
      </c>
      <c r="M13" s="2" t="inlineStr">
        <is>
          <t>Vilniaus Apskritis</t>
        </is>
      </c>
      <c r="N13" s="2" t="inlineStr">
        <is>
          <t>Lithuania</t>
        </is>
      </c>
      <c r="O13" s="7" t="n">
        <v>14146.09</v>
      </c>
      <c r="P13" s="2" t="n">
        <v>68</v>
      </c>
      <c r="Q13" s="2" t="n"/>
    </row>
    <row r="14">
      <c r="A14" s="2" t="inlineStr">
        <is>
          <t>„Darnu Group“ į NT projektus šįmet investuos 84 mln. eurų: didžioji dalis lėšų bus skirta gyvenamajai statybai</t>
        </is>
      </c>
      <c r="B14" s="2">
        <f>HYPERLINK("https://www.lrytas.lt/bustas/nekilnojamasis-turtas/2026/01/26/news/-darnu-group-i-nt-projektus-simet-investuos-84-mln-euru-didzioji-dalis-lesu-bus-skirta-gyvenamajai-statybai-41097978")</f>
        <v/>
      </c>
      <c r="C14" s="2" t="inlineStr"/>
      <c r="D14" s="2" t="inlineStr">
        <is>
          <t>lrytas.lt</t>
        </is>
      </c>
      <c r="E14" s="8" t="n">
        <v>46048.1441087963</v>
      </c>
      <c r="F14" s="2" t="inlineStr">
        <is>
          <t>Bendrovė planuoja, kad 2026 m. investicijos į gyvenamąjį nekilnojamąjį turtą sieks 68 mln. eurų, o didžioji dalis teks „Darnu Group“ keliais etapais vystomam „Sakų“ (51 mln.) bei būsimam „Launagių“ (17 mln.) projektui.
Dar 8 mln. eurų numatyti negyvenamo nekilnojamojo turto projektams.</t>
        </is>
      </c>
      <c r="G14" s="2" t="n">
        <v>1072624</v>
      </c>
      <c r="H14" s="2" t="n"/>
      <c r="I14" s="2" t="n"/>
      <c r="J14" s="2" t="n"/>
      <c r="K14" s="2" t="n"/>
      <c r="L14" s="2" t="inlineStr"/>
      <c r="M14" s="2" t="inlineStr"/>
      <c r="N14" s="2" t="inlineStr">
        <is>
          <t>Lithuania</t>
        </is>
      </c>
      <c r="O14" s="7" t="n">
        <v>9921.77</v>
      </c>
      <c r="P14" s="2" t="n">
        <v>70</v>
      </c>
      <c r="Q14" s="2" t="n"/>
    </row>
    <row r="15">
      <c r="A15" s="2" t="inlineStr">
        <is>
          <t>Darnu Group to invest EUR 84 million in real estate projects this year, with the largest share of funds allocated to residential construction</t>
        </is>
      </c>
      <c r="B15" s="2">
        <f>HYPERLINK("https://www.lrytas.lt/english/business-tribune/2026/01/26/news/darnu-group-to-invest-eur-84-million-in-real-estate-projects-this-year-with-the-largest-share-of-funds-allocated-to-residen-41098082")</f>
        <v/>
      </c>
      <c r="C15" s="2" t="inlineStr"/>
      <c r="D15" s="2" t="inlineStr">
        <is>
          <t>lrytas.lt</t>
        </is>
      </c>
      <c r="E15" s="8" t="n">
        <v>46048.14290509259</v>
      </c>
      <c r="F15" s="2" t="inlineStr">
        <is>
          <t>The company plans to invest EUR 68 million in residential real estate in 2026, with the majority allocated to Darnu Group’s multi-stage Sakai project (EUR 51 million) and the future Launagiai project (EUR 17 million).
A further EUR 8 million is planned for non-residential real estate projects.</t>
        </is>
      </c>
      <c r="G15" s="2" t="n">
        <v>1072624</v>
      </c>
      <c r="H15" s="2" t="n">
        <v>0</v>
      </c>
      <c r="I15" s="2" t="n">
        <v>0</v>
      </c>
      <c r="J15" s="2" t="n">
        <v>0</v>
      </c>
      <c r="K15" s="2" t="inlineStr">
        <is>
          <t>Positive</t>
        </is>
      </c>
      <c r="L15" s="2" t="inlineStr"/>
      <c r="M15" s="2" t="inlineStr"/>
      <c r="N15" s="2" t="inlineStr">
        <is>
          <t>Lithuania</t>
        </is>
      </c>
      <c r="O15" s="7" t="n">
        <v>9921.77</v>
      </c>
      <c r="P15" s="2" t="n">
        <v>70</v>
      </c>
      <c r="Q15" s="2" t="n"/>
    </row>
    <row r="16">
      <c r="A16" s="2" t="inlineStr">
        <is>
          <t>Statybunaujienos.lt - Šiemet „Darnu Group“ į nekilnojamojo turto projektus planuoja investuoti 84 mln. eurų</t>
        </is>
      </c>
      <c r="B16" s="2">
        <f>HYPERLINK("https://www.statybunaujienos.lt/naujiena/Siemet-Darnu-Group-i-nekilnojamojo-turto-projektus-planuoja-investuoti-84-mln-euru/25975")</f>
        <v/>
      </c>
      <c r="C16" s="2" t="inlineStr"/>
      <c r="D16" s="2" t="inlineStr">
        <is>
          <t>statybunaujienos.lt</t>
        </is>
      </c>
      <c r="E16" s="8" t="n">
        <v>46048.13861111111</v>
      </c>
      <c r="F16" s="2" t="inlineStr">
        <is>
          <t>2026-01-26 10:13
Nekilnojamojo turto plėtros bendrovė „Darnu Group“ 2026 metais į nekilnojamojo turto projektus planuoja investuoti 84 mln. eurų. Didžioji dalis investicijų bus nukreipta į gyvenamosios paskirties statybą ir projektavimo darbus Vilniuje.</t>
        </is>
      </c>
      <c r="G16" s="2" t="n">
        <v>5370</v>
      </c>
      <c r="H16" s="2" t="n">
        <v>0</v>
      </c>
      <c r="I16" s="2" t="n">
        <v>0</v>
      </c>
      <c r="J16" s="2" t="n"/>
      <c r="K16" s="2" t="n"/>
      <c r="L16" s="2" t="inlineStr"/>
      <c r="M16" s="2" t="inlineStr"/>
      <c r="N16" s="2" t="inlineStr">
        <is>
          <t>Lithuania</t>
        </is>
      </c>
      <c r="O16" s="7" t="n">
        <v>49.67</v>
      </c>
      <c r="P16" s="2" t="n">
        <v>27</v>
      </c>
      <c r="Q16" s="2" t="n"/>
    </row>
    <row r="17">
      <c r="A17" s="2" t="inlineStr">
        <is>
          <t>„Darnu group“ šiemet planuoja 84 mln. eurų investicijas, daugiausia skirs būsto projektams</t>
        </is>
      </c>
      <c r="B17" s="2">
        <f>HYPERLINK("https://www.15min.lt/verslas/naujiena/finansai/darnu-group-siemet-planuoja-84-mln-euru-investicijas-daugiausia-skirs-busto-projektams-662-2608434")</f>
        <v/>
      </c>
      <c r="C17" s="2" t="inlineStr"/>
      <c r="D17" s="2" t="inlineStr">
        <is>
          <t>15min</t>
        </is>
      </c>
      <c r="E17" s="8" t="n">
        <v>46048.11447916667</v>
      </c>
      <c r="F17" s="2" t="inlineStr">
        <is>
          <t>„Darnu Group“ šiemet į komercinį NT ketina investuoti 8 mln. eurų – 5,5 karto mažiau nei investavo pernai (44 mln. eurų). Dar 7 mln. eurų bendrovė planuoja skirti ateities projektams ir sklypams įsigyti, o į viešbučių ir restoranų bei sporto veiklas investuos 1 mln. eurų.</t>
        </is>
      </c>
      <c r="G17" s="2" t="n">
        <v>1426746</v>
      </c>
      <c r="H17" s="2" t="n"/>
      <c r="I17" s="2" t="n"/>
      <c r="J17" s="2" t="n"/>
      <c r="K17" s="2" t="n"/>
      <c r="L17" s="2" t="inlineStr">
        <is>
          <t>Vilnius</t>
        </is>
      </c>
      <c r="M17" s="2" t="inlineStr">
        <is>
          <t>Vilniaus Apskritis</t>
        </is>
      </c>
      <c r="N17" s="2" t="inlineStr">
        <is>
          <t>Lithuania</t>
        </is>
      </c>
      <c r="O17" s="7" t="n">
        <v>13197.4</v>
      </c>
      <c r="P17" s="2" t="n">
        <v>74</v>
      </c>
      <c r="Q17" s="2" t="n"/>
    </row>
    <row r="18">
      <c r="A18" s="2" t="inlineStr">
        <is>
          <t>Žiniasklaida: „Darnu Group“ šiemet į NT projektus žada investuoti 84 mln. eurų</t>
        </is>
      </c>
      <c r="B18" s="2">
        <f>HYPERLINK("https://www.delfi.lt/verslas/nekilnojamas-turtas/ziniasklaida-darnu-group-siemet-i-nt-projektus-zada-investuoti-84-mln-euru-120203069")</f>
        <v/>
      </c>
      <c r="C18" s="2" t="inlineStr"/>
      <c r="D18" s="2" t="inlineStr">
        <is>
          <t>DELFI Lithuania</t>
        </is>
      </c>
      <c r="E18" s="8" t="n">
        <v>46048.08707175926</v>
      </c>
      <c r="F18" s="2" t="inlineStr">
        <is>
          <t>Anot portalo, pernai „Darnu Group“ iš planuotų 94 mln. eurų realiai investavo apie 81 mln. eurų – 52,8 proc. daugiau nei užpernai (53 mln. eurų).</t>
        </is>
      </c>
      <c r="G18" s="2" t="n">
        <v>1878795</v>
      </c>
      <c r="H18" s="2" t="n"/>
      <c r="I18" s="2" t="n"/>
      <c r="J18" s="2" t="n"/>
      <c r="K18" s="2" t="n"/>
      <c r="L18" s="2" t="inlineStr">
        <is>
          <t>Vilnius</t>
        </is>
      </c>
      <c r="M18" s="2" t="inlineStr"/>
      <c r="N18" s="2" t="inlineStr">
        <is>
          <t>Lithuania</t>
        </is>
      </c>
      <c r="O18" s="7" t="n">
        <v>9393.98</v>
      </c>
      <c r="P18" s="2" t="n">
        <v>81</v>
      </c>
      <c r="Q18" s="2" t="n"/>
    </row>
    <row r="19">
      <c r="A19" s="2" t="inlineStr">
        <is>
          <t>„Darnu Group“ į NT projektus šįmet investuos 84 mln. eurų: didžioji dalis lėšų bus skirta gyvenamajai statybai</t>
        </is>
      </c>
      <c r="B19" s="2">
        <f>HYPERLINK("https://www.elta.lt/lt/pranesimai-spaudai/darnu-group-i-nt-projektus-simet-investuos-84-mln-euru-didzioji-dalis-lesu-bus-skirta-gyvenamajai-statybai-261081")</f>
        <v/>
      </c>
      <c r="C19" s="2" t="inlineStr"/>
      <c r="D19" s="2" t="inlineStr">
        <is>
          <t>elta.lt</t>
        </is>
      </c>
      <c r="E19" s="8" t="n">
        <v>46048</v>
      </c>
      <c r="F19" s="2" t="inlineStr">
        <is>
          <t>Nekilnojamojo turto plėtros bendrovė „Darnu Group“ šiemet į NT projektus planuoja investuoti 84 mln. eurų, iš kurių 80 proc. bus skirti gyvenamosios paskirties projektų vystymui. Reikšminga šių lėšų dalis atiteks didžiulio populiarumo sulaukusio „Sakų“ projekto tolesniam vystymui.</t>
        </is>
      </c>
      <c r="G19" s="2" t="n">
        <v>9121</v>
      </c>
      <c r="H19" s="2" t="n"/>
      <c r="I19" s="2" t="n"/>
      <c r="J19" s="2" t="n"/>
      <c r="K19" s="2" t="n"/>
      <c r="L19" s="2" t="inlineStr"/>
      <c r="M19" s="2" t="inlineStr"/>
      <c r="N19" s="2" t="inlineStr">
        <is>
          <t>Lithuania</t>
        </is>
      </c>
      <c r="O19" s="7" t="n">
        <v>84.37</v>
      </c>
      <c r="P19" s="2" t="n">
        <v>44</v>
      </c>
      <c r="Q19" s="2" t="n"/>
    </row>
    <row r="20">
      <c r="A20" s="2" t="inlineStr">
        <is>
          <t>„Darnu Group“ šiemet investicijas mažina dešimtadaliu, koncentruosis būsto segmente</t>
        </is>
      </c>
      <c r="B20" s="2">
        <f>HYPERLINK("https://www.vz.lt/statyba-ir-nt/2026/01/26/darnu-group-siemet-investicijas-mazina-desimtadaliu-koncentruosis-busto-segmente-579655")</f>
        <v/>
      </c>
      <c r="C20" s="2" t="inlineStr">
        <is>
          <t>Evelina Povilaitytė</t>
        </is>
      </c>
      <c r="D20" s="2" t="inlineStr">
        <is>
          <t>Verslo Žinios</t>
        </is>
      </c>
      <c r="E20" s="8" t="n">
        <v>46047.94791666666</v>
      </c>
      <c r="F20" s="2" t="inlineStr">
        <is>
          <t>Sigita Survilaitė, „Darnu Group“ generalinė direktorė. Bendrovės nuotr.
 Nekilnojamojo turto (NT) plėtros UAB „Darnu Group“ 2026 m. planuoja 84 mln. Eur investicijas – 10,6% mažiau nei planavo pernai (94 mln. Eur).</t>
        </is>
      </c>
      <c r="G20" s="2" t="n">
        <v>1213714</v>
      </c>
      <c r="H20" s="2" t="n"/>
      <c r="I20" s="2" t="n"/>
      <c r="J20" s="2" t="n"/>
      <c r="K20" s="2" t="n"/>
      <c r="L20" s="2" t="inlineStr">
        <is>
          <t>Vilnius</t>
        </is>
      </c>
      <c r="M20" s="2" t="inlineStr"/>
      <c r="N20" s="2" t="inlineStr">
        <is>
          <t>Lithuania</t>
        </is>
      </c>
      <c r="O20" s="7" t="n">
        <v>11226.85</v>
      </c>
      <c r="P20" s="2" t="n">
        <v>58</v>
      </c>
      <c r="Q20" s="2" t="n"/>
    </row>
    <row r="21">
      <c r="A21" s="2" t="inlineStr">
        <is>
          <t>„BaltCap“ fondas planuoja statyti senjorų namus Kaune</t>
        </is>
      </c>
      <c r="B21" s="2">
        <f>HYPERLINK("https://www.vz.lt/statyba-ir-nt/2026/01/25/baltcap-fondas-planuoja-statyti-senjoru-namus-kaune-579669")</f>
        <v/>
      </c>
      <c r="C21" s="2" t="inlineStr">
        <is>
          <t>Kamilė Gineikaitė</t>
        </is>
      </c>
      <c r="D21" s="2" t="inlineStr">
        <is>
          <t>Verslo Žinios</t>
        </is>
      </c>
      <c r="E21" s="8" t="n">
        <v>46047.25266203703</v>
      </c>
      <c r="F21" s="2" t="inlineStr">
        <is>
          <t>Fondo „BaltCap Growth Fund“ kontroliuojamos bendrovės „Care Investments“ antrinė UAB „Care NT 1“ 2025 m. kovą iš „Darnu Group“ antrinės įmonės įsigijo 0,4 ha ploto žemės sklypą V. Krėvės pr. 82C.</t>
        </is>
      </c>
      <c r="G21" s="2" t="n">
        <v>1213714</v>
      </c>
      <c r="H21" s="2" t="n"/>
      <c r="I21" s="2" t="n"/>
      <c r="J21" s="2" t="n"/>
      <c r="K21" s="2" t="n"/>
      <c r="L21" s="2" t="inlineStr">
        <is>
          <t>Vilnius</t>
        </is>
      </c>
      <c r="M21" s="2" t="inlineStr"/>
      <c r="N21" s="2" t="inlineStr">
        <is>
          <t>Lithuania</t>
        </is>
      </c>
      <c r="O21" s="7" t="n">
        <v>11226.85</v>
      </c>
      <c r="P21" s="2" t="n">
        <v>58</v>
      </c>
      <c r="Q21" s="2" t="n"/>
    </row>
    <row r="22">
      <c r="A22" s="2" t="inlineStr">
        <is>
          <t>Šalia Karoliniškių draustinio - naujas „Darnu Group“ etapas su vilų architektūra</t>
        </is>
      </c>
      <c r="B22" s="2">
        <f>HYPERLINK("https://madeinvilnius.lt/verslas/statybos-vilniuje/salia-karoliniskiu-draustinio-naujas-darnu-group-etapas-su-vilu-architektura/")</f>
        <v/>
      </c>
      <c r="C22" s="2" t="inlineStr"/>
      <c r="D22" s="2" t="inlineStr">
        <is>
          <t>madeinvilnius.lt</t>
        </is>
      </c>
      <c r="E22" s="8" t="n">
        <v>46045.16666666666</v>
      </c>
      <c r="F22" s="2" t="inlineStr">
        <is>
          <t>Nekilnojamojo turto plėtros bendrovė „Darnu Group“ pradeda butų pardavimus  jau statomame antrajame „Sakų“ projekto kvartale „Miško vilos“, įsikūrusiose šalia miškingo Karoliniškių kraštovaizdžio draustinio.</t>
        </is>
      </c>
      <c r="G22" s="2" t="n">
        <v>349239</v>
      </c>
      <c r="H22" s="2" t="n"/>
      <c r="I22" s="2" t="n"/>
      <c r="J22" s="2" t="n"/>
      <c r="K22" s="2" t="n"/>
      <c r="L22" s="2" t="inlineStr"/>
      <c r="M22" s="2" t="inlineStr"/>
      <c r="N22" s="2" t="inlineStr">
        <is>
          <t>Lithuania</t>
        </is>
      </c>
      <c r="O22" s="7" t="n">
        <v>3230.46</v>
      </c>
      <c r="P22" s="2" t="n">
        <v>35</v>
      </c>
      <c r="Q22" s="2" t="n"/>
    </row>
    <row r="23">
      <c r="A23" s="2" t="inlineStr">
        <is>
          <t>Beveik 8 km ruože - tonos šiukšlių: valant Neries dugną sostinėje atskleistas tikrasis taršos mastas</t>
        </is>
      </c>
      <c r="B23" s="2">
        <f>HYPERLINK("https://www.15min.lt/naujiena/aktualu/lietuva/beveik-8-km-ruoze-tonos-siuksliu-valant-neries-dugna-sostineje-atskleistas-tikrasis-tarsos-mastas-56-2606630")</f>
        <v/>
      </c>
      <c r="C23" s="2" t="inlineStr"/>
      <c r="D23" s="2" t="inlineStr">
        <is>
          <t>15min</t>
        </is>
      </c>
      <c r="E23" s="8" t="n">
        <v>46044.23825231481</v>
      </c>
      <c r="F23" s="2" t="inlineStr">
        <is>
          <t>Pagrindinių upių kaimynystėje vystome ne vieną NT projektą, tad ir toliau skirsime dėmesį tam, kad būtų užtikrinta upių ekosistemų gerovė“, – sako projektą iniciavusios „Darnu Group“ korporatyvinių reikalų ir rinkodaros direktorė Akvilė Liaudanskienė.</t>
        </is>
      </c>
      <c r="G23" s="2" t="n">
        <v>1426746</v>
      </c>
      <c r="H23" s="2" t="n">
        <v>0</v>
      </c>
      <c r="I23" s="2" t="n">
        <v>0</v>
      </c>
      <c r="J23" s="2" t="n">
        <v>0</v>
      </c>
      <c r="K23" s="2" t="n"/>
      <c r="L23" s="2" t="inlineStr">
        <is>
          <t>Vilnius</t>
        </is>
      </c>
      <c r="M23" s="2" t="inlineStr">
        <is>
          <t>Vilniaus Apskritis</t>
        </is>
      </c>
      <c r="N23" s="2" t="inlineStr">
        <is>
          <t>Lithuania</t>
        </is>
      </c>
      <c r="O23" s="7" t="n">
        <v>13197.4</v>
      </c>
      <c r="P23" s="2" t="n">
        <v>74</v>
      </c>
      <c r="Q23" s="2" t="n"/>
    </row>
    <row r="24">
      <c r="A24" s="2" t="inlineStr">
        <is>
          <t>Paaiškėjo, kas slypėjo Neries dugne: narai iškėlė daugiau nei 2 tonas šiukšlių</t>
        </is>
      </c>
      <c r="B24" s="2">
        <f>HYPERLINK("https://madeinvilnius.lt/naujienos/miestas/paaiskejo-kas-slypejo-neries-dugne-narai-iskele-daugiau-nei-2-tonas-siuksliu/")</f>
        <v/>
      </c>
      <c r="C24" s="2" t="inlineStr"/>
      <c r="D24" s="2" t="inlineStr">
        <is>
          <t>madeinvilnius.lt</t>
        </is>
      </c>
      <c r="E24" s="8" t="n">
        <v>46044.04166666666</v>
      </c>
      <c r="F24" s="2" t="inlineStr">
        <is>
          <t>Tad prie intensyvesnių darbų perėjome  rugsėjį, vandeniui atslūgus ir nuskaidrėjus“, – pasakoja Lietuvos hidrobiologų draugijos narys ir „Darnu Group“ konsultantas upių iniciatyvoms Kęstutis Skrupskelis.</t>
        </is>
      </c>
      <c r="G24" s="2" t="n">
        <v>349239</v>
      </c>
      <c r="H24" s="2" t="n">
        <v>0</v>
      </c>
      <c r="I24" s="2" t="n">
        <v>0</v>
      </c>
      <c r="J24" s="2" t="n">
        <v>39</v>
      </c>
      <c r="K24" s="2" t="n"/>
      <c r="L24" s="2" t="inlineStr"/>
      <c r="M24" s="2" t="inlineStr"/>
      <c r="N24" s="2" t="inlineStr">
        <is>
          <t>Lithuania</t>
        </is>
      </c>
      <c r="O24" s="7" t="n">
        <v>3230.46</v>
      </c>
      <c r="P24" s="2" t="n">
        <v>35</v>
      </c>
      <c r="Q24" s="2" t="n"/>
    </row>
    <row r="25">
      <c r="A25" s="2" t="inlineStr">
        <is>
          <t>В Вильнюсе завершeн первый этап очистки дна реки Нерис: извлечено более 2 тонн мусора</t>
        </is>
      </c>
      <c r="B25" s="2">
        <f>HYPERLINK("https://www.delfi.lt/ru/news/live/v-vilnyuse-zavershen-pervyy-etap-ochistki-dna-reki-neris-izvlecheno-bolee-2-tonn-musora-120201581")</f>
        <v/>
      </c>
      <c r="C25" s="2" t="inlineStr"/>
      <c r="D25" s="2" t="inlineStr">
        <is>
          <t>DELFI Lithuania</t>
        </is>
      </c>
      <c r="E25" s="8" t="n">
        <v>46043.99524305556</v>
      </c>
      <c r="F25" s="2" t="inlineStr">
        <is>
          <t>Мы хотим, чтобы этот проект стал напоминанием каждому жителю Вильнюса о необходимости ценить то, что нас окружает, и ответственно относиться к богатой природе города», – говорит директор по корпоративным вопросам и маркетингу Darnu Group Аквиле Ляуданскене.</t>
        </is>
      </c>
      <c r="G25" s="2" t="n">
        <v>1878795</v>
      </c>
      <c r="H25" s="2" t="n"/>
      <c r="I25" s="2" t="n"/>
      <c r="J25" s="2" t="n"/>
      <c r="K25" s="2" t="n"/>
      <c r="L25" s="2" t="inlineStr">
        <is>
          <t>Vilnius</t>
        </is>
      </c>
      <c r="M25" s="2" t="inlineStr"/>
      <c r="N25" s="2" t="inlineStr">
        <is>
          <t>Lithuania</t>
        </is>
      </c>
      <c r="O25" s="7" t="n">
        <v>9393.98</v>
      </c>
      <c r="P25" s="2" t="n">
        <v>81</v>
      </c>
      <c r="Q25" s="2" t="n"/>
    </row>
    <row r="26">
      <c r="A26" s="2" t="inlineStr">
        <is>
          <t>Vilniuje baigtas pirmasis Neries dugno valymo etapas: iškelta daugiau nei 2 tonos šiukšlių</t>
        </is>
      </c>
      <c r="B26" s="2">
        <f>HYPERLINK("https://diena.lt/naujienos/vilnius/miesto-pulsas/vilniuje-baigtas-pirmasis-neries-dugno-valymo-etapas-iskelta-daugiau-nei-2-tonos-siuksliu-1738548")</f>
        <v/>
      </c>
      <c r="C26" s="2" t="inlineStr"/>
      <c r="D26" s="2" t="inlineStr">
        <is>
          <t>diena.lt</t>
        </is>
      </c>
      <c r="E26" s="8" t="n">
        <v>46043.40085648148</v>
      </c>
      <c r="F26" s="2" t="inlineStr">
        <is>
          <t>Norisi, kad šis projektas taptų priminimu kiekvienam vilniečiui vertinti tai, kokį turtą turime šalia bei atsakingai elgtis su mieste esančia turtinga gamta“, – pranešime teigia „Darnu Group“ korporatyvinių reikalų ir rinkodaros direktorė Akvilė Liaudanskienė.</t>
        </is>
      </c>
      <c r="G26" s="2" t="n">
        <v>486179</v>
      </c>
      <c r="H26" s="2" t="n">
        <v>0</v>
      </c>
      <c r="I26" s="2" t="n">
        <v>0</v>
      </c>
      <c r="J26" s="2" t="n">
        <v>0</v>
      </c>
      <c r="K26" s="2" t="n"/>
      <c r="L26" s="2" t="inlineStr">
        <is>
          <t>Vilnius</t>
        </is>
      </c>
      <c r="M26" s="2" t="inlineStr">
        <is>
          <t>Vilnius</t>
        </is>
      </c>
      <c r="N26" s="2" t="inlineStr">
        <is>
          <t>Lithuania</t>
        </is>
      </c>
      <c r="O26" s="7" t="n">
        <v>4497.16</v>
      </c>
      <c r="P26" s="2" t="n">
        <v>58</v>
      </c>
      <c r="Q26" s="2" t="n"/>
    </row>
    <row r="27">
      <c r="A27" s="2" t="inlineStr">
        <is>
          <t>Vilniuje iš Neries dugno surinkta daugiau kaip 2 tonos atliekų: baigtas pirmas valymo etapas</t>
        </is>
      </c>
      <c r="B27" s="2">
        <f>HYPERLINK("https://www.tv3.lt/naujiena/lietuva/vilniuje-is-neries-dugno-surinkta-daugiau-kaip-2-tonos-atlieku-baigtas-pirmas-valymo-etapas-n1487688")</f>
        <v/>
      </c>
      <c r="C27" s="2" t="inlineStr"/>
      <c r="D27" s="2" t="inlineStr">
        <is>
          <t>TV3 Lithuania</t>
        </is>
      </c>
      <c r="E27" s="8" t="n">
        <v>46043.39756944445</v>
      </c>
      <c r="F27" s="2" t="inlineStr">
        <is>
          <t>Norisi, kad šis projektas taptų priminimu kiekvienam vilniečiui vertinti tai, kokį turtą turime šalia bei atsakingai elgtis su mieste esančia turtinga gamta“, – pranešime teigia „Darnu Group“ korporatyvinių reikalų ir rinkodaros direktorė Akvilė Liaudanskienė.</t>
        </is>
      </c>
      <c r="G27" s="2" t="n">
        <v>1240858</v>
      </c>
      <c r="H27" s="2" t="n">
        <v>0</v>
      </c>
      <c r="I27" s="2" t="n">
        <v>0</v>
      </c>
      <c r="J27" s="2" t="n">
        <v>0</v>
      </c>
      <c r="K27" s="2" t="n"/>
      <c r="L27" s="2" t="inlineStr">
        <is>
          <t>Vilnius</t>
        </is>
      </c>
      <c r="M27" s="2" t="inlineStr"/>
      <c r="N27" s="2" t="inlineStr">
        <is>
          <t>Lithuania</t>
        </is>
      </c>
      <c r="O27" s="7" t="n">
        <v>11477.94</v>
      </c>
      <c r="P27" s="2" t="n">
        <v>60</v>
      </c>
      <c r="Q27" s="2" t="n"/>
    </row>
    <row r="28">
      <c r="A28" s="2" t="inlineStr">
        <is>
          <t>Beveik 8 km ruože – tonos šiukšlių: valant Neries dugną atskleistas taršos mastas</t>
        </is>
      </c>
      <c r="B28" s="2">
        <f>HYPERLINK("https://www.valstietis.lt/salyje/beveik-8-km-ruoze-tonos-siuksliu-valant-neries-dugna-atskleistas-tarsos-mastas/138872")</f>
        <v/>
      </c>
      <c r="C28" s="2" t="inlineStr"/>
      <c r="D28" s="2" t="inlineStr">
        <is>
          <t>valstietis.lt</t>
        </is>
      </c>
      <c r="E28" s="8" t="n">
        <v>46043.38203703704</v>
      </c>
      <c r="F28" s="2" t="inlineStr">
        <is>
          <t>Tad prie 
intensyvesnių darbų perėjome  rugsėjį, vandeniui atslūgus ir 
nuskaidrėjus“, – pasakoja Lietuvos hidrobiologų draugijos narys ir 
„Darnu Group“ konsultantas upių iniciatyvoms Kęstutis Skrupskelis.</t>
        </is>
      </c>
      <c r="G28" s="2" t="n">
        <v>12521</v>
      </c>
      <c r="H28" s="2" t="n">
        <v>0</v>
      </c>
      <c r="I28" s="2" t="n">
        <v>0</v>
      </c>
      <c r="J28" s="2" t="n">
        <v>0</v>
      </c>
      <c r="K28" s="2" t="n"/>
      <c r="L28" s="2" t="inlineStr"/>
      <c r="M28" s="2" t="inlineStr"/>
      <c r="N28" s="2" t="inlineStr">
        <is>
          <t>Lithuania</t>
        </is>
      </c>
      <c r="O28" s="7" t="n">
        <v>115.82</v>
      </c>
      <c r="P28" s="2" t="n">
        <v>38</v>
      </c>
      <c r="Q28" s="2" t="n"/>
    </row>
    <row r="29">
      <c r="A29" s="2" t="inlineStr">
        <is>
          <t>Vilniuje baigtas pirmasis Neries upės dugno valymo etapas</t>
        </is>
      </c>
      <c r="B29" s="2">
        <f>HYPERLINK("https://alkas.lt/2026/01/21/vilniuje-baigtas-pirmasis-neries-upes-dugno-valymo-etapas/")</f>
        <v/>
      </c>
      <c r="C29" s="2" t="inlineStr">
        <is>
          <t>Ditė Česėkaitė</t>
        </is>
      </c>
      <c r="D29" s="2" t="inlineStr">
        <is>
          <t>alkas.lt</t>
        </is>
      </c>
      <c r="E29" s="8" t="n">
        <v>46043.27430555555</v>
      </c>
      <c r="F29" s="2" t="inlineStr">
        <is>
          <t>Pagrindinių upių kaimynystėje vystome ne vieną NT projektą, tad ir toliau skirsime dėmesį tam, kad būtų užtikrinta upių ekosistemų gerovė“, – sako projektą iniciavusios „Darnu Group“ korporatyvinių reikalų ir rinkodaros direktorė Akvilė Liaudanskienė.</t>
        </is>
      </c>
      <c r="G29" s="2" t="n">
        <v>21764</v>
      </c>
      <c r="H29" s="2" t="n"/>
      <c r="I29" s="2" t="n"/>
      <c r="J29" s="2" t="n"/>
      <c r="K29" s="2" t="n"/>
      <c r="L29" s="2" t="inlineStr"/>
      <c r="M29" s="2" t="inlineStr"/>
      <c r="N29" s="2" t="inlineStr">
        <is>
          <t>Lithuania</t>
        </is>
      </c>
      <c r="O29" s="7" t="n">
        <v>201.32</v>
      </c>
      <c r="P29" s="2" t="n">
        <v>41</v>
      </c>
      <c r="Q29" s="2" t="n"/>
    </row>
    <row r="30">
      <c r="A30" s="2" t="inlineStr">
        <is>
          <t>Delfi diena. Mažėjantis gimstamumas Lietuvoje ir rekordininko Nerimanto Juciaus įspūdžiai Dakare</t>
        </is>
      </c>
      <c r="B30" s="2">
        <f>HYPERLINK("https://www.delfi.lt/tv/laidos/delfi-diena/delfi-diena-mazejantis-gimstamumas-lietuvoje-ir-rekordininko-nerimanto-juciaus-ispudziai-dakare-120201219")</f>
        <v/>
      </c>
      <c r="C30" s="2" t="inlineStr"/>
      <c r="D30" s="2" t="inlineStr">
        <is>
          <t>DELFI Lithuania</t>
        </is>
      </c>
      <c r="E30" s="8" t="n">
        <v>46043.19885416667</v>
      </c>
      <c r="F30" s="2" t="inlineStr">
        <is>
          <t>Projektą inicijavo NT plėtros bendrovė „Darnu Group“ kartu su Lietuvos hidrobiologų draugija ir profesionalių narų komanda.</t>
        </is>
      </c>
      <c r="G30" s="2" t="n">
        <v>1878795</v>
      </c>
      <c r="H30" s="2" t="n"/>
      <c r="I30" s="2" t="n"/>
      <c r="J30" s="2" t="n"/>
      <c r="K30" s="2" t="n"/>
      <c r="L30" s="2" t="inlineStr">
        <is>
          <t>Vilnius</t>
        </is>
      </c>
      <c r="M30" s="2" t="inlineStr"/>
      <c r="N30" s="2" t="inlineStr">
        <is>
          <t>Lithuania</t>
        </is>
      </c>
      <c r="O30" s="7" t="n">
        <v>9393.98</v>
      </c>
      <c r="P30" s="2" t="n">
        <v>81</v>
      </c>
      <c r="Q30" s="2" t="n"/>
    </row>
    <row r="31">
      <c r="A31" s="2" t="inlineStr">
        <is>
          <t>Beveik 8 km ruože - tonos šiukšlių: valant Neries dugną sostinėje atskleistas tikrasis taršos mastas</t>
        </is>
      </c>
      <c r="B31" s="2">
        <f>HYPERLINK("https://sc.bns.lt/view/item/beveik-8-km-ruoze-tonos-siuksliu-valant-neries-dugna-sostineje-atskleistas-tikrasis-tarsos-mastas-522569")</f>
        <v/>
      </c>
      <c r="C31" s="2" t="inlineStr"/>
      <c r="D31" s="2" t="inlineStr">
        <is>
          <t>Baltic News Service (Lithuania)</t>
        </is>
      </c>
      <c r="E31" s="8" t="n">
        <v>46043.16921296297</v>
      </c>
      <c r="F31" s="2" t="inlineStr">
        <is>
          <t>Tad prie intensyvesnių darbų perėjome  rugsėjį, vandeniui atslūgus ir nuskaidrėjus“, – pasakoja Lietuvos hidrobiologų draugijos narys ir „Darnu Group“ konsultantas upių iniciatyvoms Kęstutis Skrupskelis.</t>
        </is>
      </c>
      <c r="G31" s="2" t="n">
        <v>32397</v>
      </c>
      <c r="H31" s="2" t="n">
        <v>0</v>
      </c>
      <c r="I31" s="2" t="n">
        <v>0</v>
      </c>
      <c r="J31" s="2" t="n">
        <v>0</v>
      </c>
      <c r="K31" s="2" t="n"/>
      <c r="L31" s="2" t="inlineStr">
        <is>
          <t>Vilnius</t>
        </is>
      </c>
      <c r="M31" s="2" t="inlineStr"/>
      <c r="N31" s="2" t="inlineStr">
        <is>
          <t>Lithuania</t>
        </is>
      </c>
      <c r="O31" s="7" t="n">
        <v>299.67</v>
      </c>
      <c r="P31" s="2" t="n">
        <v>55</v>
      </c>
      <c r="Q31" s="2" t="n"/>
    </row>
    <row r="32">
      <c r="A32" s="2" t="inlineStr">
        <is>
          <t>Tons of waste found along an 8-km stretch of the Neris as cleanup reveals the true extent of pollution</t>
        </is>
      </c>
      <c r="B32" s="2">
        <f>HYPERLINK("https://www.lrytas.lt/english/business-tribune/2026/01/21/news/tons-of-waste-found-along-an-8-km-stretch-of-the-neris-as-cleanup-reveals-the-true-extent-of-pollution-41048366")</f>
        <v/>
      </c>
      <c r="C32" s="2" t="inlineStr"/>
      <c r="D32" s="2" t="inlineStr">
        <is>
          <t>lrytas.lt</t>
        </is>
      </c>
      <c r="E32" s="8" t="n">
        <v>46043.16375</v>
      </c>
      <c r="F32" s="2" t="inlineStr">
        <is>
          <t>So we intensified the work in September, when the water receded and cleared,“ says Kęstutis Skrupskelis, a member of the Lithuanian Society of Hydrobiology and a consultant on river initiatives at Darnu Group.</t>
        </is>
      </c>
      <c r="G32" s="2" t="n">
        <v>1072624</v>
      </c>
      <c r="H32" s="2" t="n">
        <v>0</v>
      </c>
      <c r="I32" s="2" t="n">
        <v>0</v>
      </c>
      <c r="J32" s="2" t="n">
        <v>0</v>
      </c>
      <c r="K32" s="2" t="inlineStr">
        <is>
          <t>Negative</t>
        </is>
      </c>
      <c r="L32" s="2" t="inlineStr"/>
      <c r="M32" s="2" t="inlineStr"/>
      <c r="N32" s="2" t="inlineStr">
        <is>
          <t>Lithuania</t>
        </is>
      </c>
      <c r="O32" s="7" t="n">
        <v>9921.77</v>
      </c>
      <c r="P32" s="2" t="n">
        <v>70</v>
      </c>
      <c r="Q32" s="2" t="n"/>
    </row>
    <row r="33">
      <c r="A33" s="2" t="inlineStr">
        <is>
          <t>Beveik 8 km ruože - tonos šiukšlių: valant Neries dugną sostinėje atskleistas tikrasis taršos mastas</t>
        </is>
      </c>
      <c r="B33" s="2">
        <f>HYPERLINK("https://www.lrytas.lt/gamta/eko/2026/01/21/news/beveik-8-km-ruoze-tonos-siuksliu-valant-neries-dugna-sostineje-atskleistas-tikrasis-tarsos-mastas-41048117")</f>
        <v/>
      </c>
      <c r="C33" s="2" t="inlineStr"/>
      <c r="D33" s="2" t="inlineStr">
        <is>
          <t>lrytas.lt</t>
        </is>
      </c>
      <c r="E33" s="8" t="n">
        <v>46043.16207175926</v>
      </c>
      <c r="F33" s="2" t="inlineStr">
        <is>
          <t>Tad prie intensyvesnių darbų perėjome rugsėjį, vandeniui atslūgus ir nuskaidrėjus“, – pasakoja Lietuvos hidrobiologų draugijos narys ir „Darnu Group“ konsultantas upių iniciatyvoms Kęstutis Skrupskelis.</t>
        </is>
      </c>
      <c r="G33" s="2" t="n">
        <v>1072624</v>
      </c>
      <c r="H33" s="2" t="n">
        <v>0</v>
      </c>
      <c r="I33" s="2" t="n">
        <v>0</v>
      </c>
      <c r="J33" s="2" t="n">
        <v>0</v>
      </c>
      <c r="K33" s="2" t="n"/>
      <c r="L33" s="2" t="inlineStr"/>
      <c r="M33" s="2" t="inlineStr"/>
      <c r="N33" s="2" t="inlineStr">
        <is>
          <t>Lithuania</t>
        </is>
      </c>
      <c r="O33" s="7" t="n">
        <v>9921.77</v>
      </c>
      <c r="P33" s="2" t="n">
        <v>70</v>
      </c>
      <c r="Q33" s="2" t="n"/>
    </row>
    <row r="34">
      <c r="A34" s="2" t="inlineStr">
        <is>
          <t>Neries dugne Vilniuje - tonos šiukšlių ir netikėti radiniai - Delfi grynas</t>
        </is>
      </c>
      <c r="B34" s="2">
        <f>HYPERLINK("https://www.delfi.lt/grynas/gamta/neries-dugne-vilniuje-netiketi-radiniai-120201106")</f>
        <v/>
      </c>
      <c r="C34" s="2" t="inlineStr">
        <is>
          <t>Tomas Grikinis</t>
        </is>
      </c>
      <c r="D34" s="2" t="inlineStr">
        <is>
          <t>DELFI Lithuania</t>
        </is>
      </c>
      <c r="E34" s="8" t="n">
        <v>46043.14453703703</v>
      </c>
      <c r="F34" s="2" t="inlineStr">
        <is>
          <t>Neries valymo projektas – ne pirma „Darnu Group“ inicijuota aplinkosauginė iniciatyva. Kiek anksčiau buvo valoma ir Vilnelės vaga. Akcijos metu per trejus metus surinkta 10 tonų šiukšlių.</t>
        </is>
      </c>
      <c r="G34" s="2" t="n">
        <v>1878795</v>
      </c>
      <c r="H34" s="2" t="n">
        <v>0</v>
      </c>
      <c r="I34" s="2" t="n">
        <v>0</v>
      </c>
      <c r="J34" s="2" t="n">
        <v>0</v>
      </c>
      <c r="K34" s="2" t="n"/>
      <c r="L34" s="2" t="inlineStr">
        <is>
          <t>Vilnius</t>
        </is>
      </c>
      <c r="M34" s="2" t="inlineStr"/>
      <c r="N34" s="2" t="inlineStr">
        <is>
          <t>Lithuania</t>
        </is>
      </c>
      <c r="O34" s="7" t="n">
        <v>9393.98</v>
      </c>
      <c r="P34" s="2" t="n">
        <v>81</v>
      </c>
      <c r="Q34" s="2" t="n"/>
    </row>
    <row r="35">
      <c r="A35" s="2" t="inlineStr">
        <is>
          <t>Beveik 8 km ruože - tonos šiukšlių: valant Neries dugną sostinėje atskleistas tikrasis taršos mastas</t>
        </is>
      </c>
      <c r="B35" s="2">
        <f>HYPERLINK("https://www.lrytas.lt/gamta/eko/2026/01/21/news/beveik-8-km-ruoze-tonos-siuksliu-valant-neries-dugna-sostineje-atskleistas-tikrasis-tarsos-mastas-41050104")</f>
        <v/>
      </c>
      <c r="C35" s="2" t="inlineStr"/>
      <c r="D35" s="2" t="inlineStr">
        <is>
          <t>lrytas.lt</t>
        </is>
      </c>
      <c r="E35" s="8" t="n">
        <v>46043</v>
      </c>
      <c r="F35" s="2" t="inlineStr">
        <is>
          <t>Ambicingą projektą dar vasarą pradėjo NT plėtros bendrovė „Darnu Group“ kartu su Lietuvos hidrobiologų draugija bei profesionalių narų komanda. Narai per valymo laikotarpį iškėlė daugiau nei 2 tonas šiukšlių ir išvalė pirmąjį planuotą upės ruožą nuo Baltojo tilto iki Lazdynų tilto.</t>
        </is>
      </c>
      <c r="G35" s="2" t="n">
        <v>1072624</v>
      </c>
      <c r="H35" s="2" t="n">
        <v>0</v>
      </c>
      <c r="I35" s="2" t="n">
        <v>0</v>
      </c>
      <c r="J35" s="2" t="n">
        <v>0</v>
      </c>
      <c r="K35" s="2" t="n"/>
      <c r="L35" s="2" t="inlineStr"/>
      <c r="M35" s="2" t="inlineStr"/>
      <c r="N35" s="2" t="inlineStr">
        <is>
          <t>Lithuania</t>
        </is>
      </c>
      <c r="O35" s="7" t="n">
        <v>9921.77</v>
      </c>
      <c r="P35" s="2" t="n">
        <v>70</v>
      </c>
      <c r="Q35" s="2" t="n"/>
    </row>
    <row r="36">
      <c r="A36" s="2" t="inlineStr">
        <is>
          <t>Beveik 8 km ruože – tonos šiukšlių: valant Neries dugną sostinėje atskleistas tikrasis taršos mastas</t>
        </is>
      </c>
      <c r="B36" s="2">
        <f>HYPERLINK("https://www.elta.lt/lt/pranesimai-spaudai/beveik-8-km-ruoze-tonos-siuksliu-valant-neries-dugna-sostineje-atskleistas-tikrasis-tarsos-mastas-260985")</f>
        <v/>
      </c>
      <c r="C36" s="2" t="inlineStr"/>
      <c r="D36" s="2" t="inlineStr">
        <is>
          <t>elta.lt</t>
        </is>
      </c>
      <c r="E36" s="8" t="n">
        <v>46043</v>
      </c>
      <c r="F36" s="2" t="inlineStr">
        <is>
          <t>Tad prie intensyvesnių darbų perėjome  rugsėjį, vandeniui atslūgus ir nuskaidrėjus“, – pasakoja Lietuvos hidrobiologų draugijos narys ir „Darnu Group“ konsultantas upių iniciatyvoms Kęstutis Skrupskelis.</t>
        </is>
      </c>
      <c r="G36" s="2" t="n">
        <v>9121</v>
      </c>
      <c r="H36" s="2" t="n"/>
      <c r="I36" s="2" t="n"/>
      <c r="J36" s="2" t="n"/>
      <c r="K36" s="2" t="n"/>
      <c r="L36" s="2" t="inlineStr"/>
      <c r="M36" s="2" t="inlineStr"/>
      <c r="N36" s="2" t="inlineStr">
        <is>
          <t>Lithuania</t>
        </is>
      </c>
      <c r="O36" s="7" t="n">
        <v>84.37</v>
      </c>
      <c r="P36" s="2" t="n">
        <v>44</v>
      </c>
      <c r="Q36" s="2" t="n"/>
    </row>
    <row r="37">
      <c r="A37" s="2" t="inlineStr">
        <is>
          <t>Apeliacinis teismas: „Darnu Group“ įmonės pasiūlymas Šiaulių kalėjimo konkursui atmestas teisėtai</t>
        </is>
      </c>
      <c r="B37" s="2">
        <f>HYPERLINK("https://kauno.diena.lt/naujienos/verslas/imoniu-pulsas/apeliacinis-teismas-darnu-group-imones-pasiulymas-siauliu-kalejimo-konkursui-atmestas-teisetai-1738186")</f>
        <v/>
      </c>
      <c r="C37" s="2" t="inlineStr"/>
      <c r="D37" s="2" t="inlineStr">
        <is>
          <t>Kauno diena</t>
        </is>
      </c>
      <c r="E37" s="8" t="n">
        <v>46041.45005787037</v>
      </c>
      <c r="F37" s="2" t="inlineStr">
        <is>
          <t>Lietuvos apeliacinis teismas pirmadienį nutarė, kad Klaipėdos apygardos teismas pagrįstai atmetė „DG VPP vystymo“ ieškinį – įmonė prašė panaikinti Kalėjimų tarnybos sprendimą dėl bendrovei skirtų balų vertinant pasiūlymą ir jį vertinti iš naujo.</t>
        </is>
      </c>
      <c r="G37" s="2" t="n">
        <v>341490</v>
      </c>
      <c r="H37" s="2" t="n"/>
      <c r="I37" s="2" t="n"/>
      <c r="J37" s="2" t="n"/>
      <c r="K37" s="2" t="n"/>
      <c r="L37" s="2" t="inlineStr">
        <is>
          <t>Kaunas</t>
        </is>
      </c>
      <c r="M37" s="2" t="inlineStr"/>
      <c r="N37" s="2" t="inlineStr">
        <is>
          <t>Lithuania</t>
        </is>
      </c>
      <c r="O37" s="7" t="n">
        <v>3158.78</v>
      </c>
      <c r="P37" s="2" t="n">
        <v>58</v>
      </c>
      <c r="Q37" s="2" t="n"/>
    </row>
    <row r="38">
      <c r="A38" s="2" t="inlineStr">
        <is>
          <t>Teismas: „Darnu Group“ įmonės pasiūlymas Šiaulių kalėjimo konkursui atmestas teisėtai</t>
        </is>
      </c>
      <c r="B38" s="2">
        <f>HYPERLINK("https://www.lrt.lt/naujienos/verslas/4/2811371/teismas-darnu-group-imones-pasiulymas-siauliu-kalejimo-konkursui-atmestas-teisetai")</f>
        <v/>
      </c>
      <c r="C38" s="2" t="inlineStr"/>
      <c r="D38" s="2" t="inlineStr">
        <is>
          <t>Lithuanian National Radio and Television (LRT)</t>
        </is>
      </c>
      <c r="E38" s="8" t="n">
        <v>46041.44834490741</v>
      </c>
      <c r="F38" s="2" t="inlineStr">
        <is>
          <t>BNS
 2026.01.19 17:09
00:00
 |
00:00
 Nekilnojamojo turto (NT) plėtros grupės „Darnu Group“ antrinės įmonės „DG VPP vystymas“ pasiūlymas beveik 57 mln. eurų vertės naujo Šiaulių</t>
        </is>
      </c>
      <c r="G38" s="2" t="n">
        <v>1529307</v>
      </c>
      <c r="H38" s="2" t="n"/>
      <c r="I38" s="2" t="n"/>
      <c r="J38" s="2" t="n"/>
      <c r="K38" s="2" t="n"/>
      <c r="L38" s="2" t="inlineStr">
        <is>
          <t>Vilnius</t>
        </is>
      </c>
      <c r="M38" s="2" t="inlineStr">
        <is>
          <t>Vilniaus Apskritis</t>
        </is>
      </c>
      <c r="N38" s="2" t="inlineStr">
        <is>
          <t>Lithuania</t>
        </is>
      </c>
      <c r="O38" s="7" t="n">
        <v>14146.09</v>
      </c>
      <c r="P38" s="2" t="n">
        <v>68</v>
      </c>
      <c r="Q38" s="2" t="n"/>
    </row>
    <row r="39">
      <c r="A39" s="2" t="inlineStr">
        <is>
          <t>Apeliacinis teismas: „Darnu Group“ įmonės pasiūlymas Šiaulių kalėjimo konkursui atmestas teisėtai</t>
        </is>
      </c>
      <c r="B39" s="2">
        <f>HYPERLINK("https://www.15min.lt/verslas/naujiena/finansai/apeliacinis-teismas-darnu-group-imones-pasiulymas-siauliu-kalejimo-konkursui-atmestas-teisetai-662-2604448")</f>
        <v/>
      </c>
      <c r="C39" s="2" t="inlineStr"/>
      <c r="D39" s="2" t="inlineStr">
        <is>
          <t>15min</t>
        </is>
      </c>
      <c r="E39" s="8" t="n">
        <v>46041.42983796296</v>
      </c>
      <c r="F39" s="2" t="inlineStr">
        <is>
          <t>Lietuvos apeliacinis teismas pirmadienį nutarė, kad Klaipėdos apygardos teismas pagrįstai atmetė „DG VPP vystymo“ ieškinį – įmonė prašė panaikinti Kalėjimų tarnybos sprendimą dėl bendrovei skirtų balų vertinant pasiūlymą ir jį vertinti iš naujo.</t>
        </is>
      </c>
      <c r="G39" s="2" t="n">
        <v>1426746</v>
      </c>
      <c r="H39" s="2" t="n"/>
      <c r="I39" s="2" t="n"/>
      <c r="J39" s="2" t="n"/>
      <c r="K39" s="2" t="n"/>
      <c r="L39" s="2" t="inlineStr">
        <is>
          <t>Vilnius</t>
        </is>
      </c>
      <c r="M39" s="2" t="inlineStr">
        <is>
          <t>Vilniaus Apskritis</t>
        </is>
      </c>
      <c r="N39" s="2" t="inlineStr">
        <is>
          <t>Lithuania</t>
        </is>
      </c>
      <c r="O39" s="7" t="n">
        <v>13197.4</v>
      </c>
      <c r="P39" s="2" t="n">
        <v>74</v>
      </c>
      <c r="Q39" s="2" t="n"/>
    </row>
    <row r="40">
      <c r="A40" s="2" t="inlineStr">
        <is>
          <t>Pernai butus čia graibstė greičiausiai: parodė, kaip atrodys išskirtinės „Miško vilos“ ant draustinio ribos</t>
        </is>
      </c>
      <c r="B40" s="2">
        <f>HYPERLINK("https://manonamai.lt/nt-naujienos/pernai-butus-cia-graibste-greiciausiai-parode-kaip-atrodys-isskirtines-misko-vilos-ant-draustinio-ribos")</f>
        <v/>
      </c>
      <c r="C40" s="2" t="inlineStr">
        <is>
          <t>Gerda Liesienė</t>
        </is>
      </c>
      <c r="D40" s="2" t="inlineStr">
        <is>
          <t>manonamai.lt</t>
        </is>
      </c>
      <c r="E40" s="8" t="n">
        <v>46041.25525462963</v>
      </c>
      <c r="F40" s="2" t="inlineStr">
        <is>
          <t>Nekilnojamojo turto plėtros bendrovė „Darnu Group“ pradeda butų pardavimus jau statomame antrajame „Sakų“ projekto kvartale „Miško vilos“, įsikūrusiose šalia miškingo Karoliniškių kraštovaizdžio draustinio.</t>
        </is>
      </c>
      <c r="G40" s="2" t="n">
        <v>36600</v>
      </c>
      <c r="H40" s="2" t="n"/>
      <c r="I40" s="2" t="n"/>
      <c r="J40" s="2" t="n"/>
      <c r="K40" s="2" t="n"/>
      <c r="L40" s="2" t="inlineStr"/>
      <c r="M40" s="2" t="inlineStr"/>
      <c r="N40" s="2" t="inlineStr">
        <is>
          <t>Lithuania</t>
        </is>
      </c>
      <c r="O40" s="7" t="n">
        <v>338.55</v>
      </c>
      <c r="P40" s="2" t="n">
        <v>35</v>
      </c>
      <c r="Q40" s="2" t="n"/>
    </row>
    <row r="41">
      <c r="A41" s="2" t="inlineStr">
        <is>
          <t>Vilnius’ most desirable project Sakai accelerates, with 177 more apartments on offer</t>
        </is>
      </c>
      <c r="B41" s="2">
        <f>HYPERLINK("https://www.lrytas.lt/english/business-tribune/2026/01/19/news/vilnius-most-desirable-project-sakai-accelerates-with-177-more-apartments-on-offer-41015812")</f>
        <v/>
      </c>
      <c r="C41" s="2" t="inlineStr"/>
      <c r="D41" s="2" t="inlineStr">
        <is>
          <t>lrytas.lt</t>
        </is>
      </c>
      <c r="E41" s="8" t="n">
        <v>46041.19820601852</v>
      </c>
      <c r="F41" s="2" t="inlineStr">
        <is>
          <t>“Such buyers account for about a third of all buyers here,” says Mykolas Čiplys, Head of Sales and Rental at Darnu Group.
Close to the forest, with the feeling of a resort villa
Forest Villas will offer low-rise homes with cosy staircases.</t>
        </is>
      </c>
      <c r="G41" s="2" t="n">
        <v>1072624</v>
      </c>
      <c r="H41" s="2" t="n">
        <v>0</v>
      </c>
      <c r="I41" s="2" t="n">
        <v>0</v>
      </c>
      <c r="J41" s="2" t="n">
        <v>0</v>
      </c>
      <c r="K41" s="2" t="inlineStr">
        <is>
          <t>Positive</t>
        </is>
      </c>
      <c r="L41" s="2" t="inlineStr"/>
      <c r="M41" s="2" t="inlineStr"/>
      <c r="N41" s="2" t="inlineStr">
        <is>
          <t>Lithuania</t>
        </is>
      </c>
      <c r="O41" s="7" t="n">
        <v>9921.77</v>
      </c>
      <c r="P41" s="2" t="n">
        <v>70</v>
      </c>
      <c r="Q41" s="2" t="n"/>
    </row>
    <row r="42">
      <c r="A42" s="2" t="inlineStr">
        <is>
          <t>Geidžiamiausias Vilniaus projektas „Sakai“ didina apsukas: pradeda naujo etapo pardavimus</t>
        </is>
      </c>
      <c r="B42" s="2">
        <f>HYPERLINK("https://www.lrytas.lt/bustas/nekilnojamasis-turtas/2026/01/19/news/geidziamiausias-vilniaus-projektas-sakai-didina-apsukas-pradeda-naujo-etapo-pardavimus-41015447")</f>
        <v/>
      </c>
      <c r="C42" s="2" t="inlineStr"/>
      <c r="D42" s="2" t="inlineStr">
        <is>
          <t>lrytas.lt</t>
        </is>
      </c>
      <c r="E42" s="8" t="n">
        <v>46041.18478009259</v>
      </c>
      <c r="F42" s="2" t="inlineStr">
        <is>
          <t>.“, – sako „Darnu Group“ pardavimų ir nuomos vadovas Mykolas Čiplys.
Arčiau miško – daugiau kurorto vilos jausmo
„Miško vilų“ kvartale iškils išraiškingi mažaaukštės architektūros namai.</t>
        </is>
      </c>
      <c r="G42" s="2" t="n">
        <v>1072624</v>
      </c>
      <c r="H42" s="2" t="n">
        <v>0</v>
      </c>
      <c r="I42" s="2" t="n">
        <v>0</v>
      </c>
      <c r="J42" s="2" t="n">
        <v>0</v>
      </c>
      <c r="K42" s="2" t="n"/>
      <c r="L42" s="2" t="inlineStr"/>
      <c r="M42" s="2" t="inlineStr"/>
      <c r="N42" s="2" t="inlineStr">
        <is>
          <t>Lithuania</t>
        </is>
      </c>
      <c r="O42" s="7" t="n">
        <v>9921.77</v>
      </c>
      <c r="P42" s="2" t="n">
        <v>70</v>
      </c>
      <c r="Q42" s="2" t="n"/>
    </row>
    <row r="43">
      <c r="A43" s="2" t="inlineStr">
        <is>
          <t>Statybunaujienos.lt - Projektas „Sakai“ pradeda naujo etapo pardavimus</t>
        </is>
      </c>
      <c r="B43" s="2">
        <f>HYPERLINK("https://www.statybunaujienos.lt/naujiena/Projektas-Sakai-pradeda-naujo-etapo-pardavimus/25934")</f>
        <v/>
      </c>
      <c r="C43" s="2" t="inlineStr"/>
      <c r="D43" s="2" t="inlineStr">
        <is>
          <t>statybunaujienos.lt</t>
        </is>
      </c>
      <c r="E43" s="8" t="n">
        <v>46041.18445601852</v>
      </c>
      <c r="F43" s="2" t="inlineStr">
        <is>
          <t>2026-01-19 11:22
Nekilnojamojo turto plėtros bendrovė „Darnu Group“ pradeda butų pardavimus jau statomame antrajame „Sakų“ projekto kvartale „Miško vilos“, įsikūrusiose šalia miškingo Karoliniškių kraštovaizdžio draustinio.</t>
        </is>
      </c>
      <c r="G43" s="2" t="n">
        <v>5370</v>
      </c>
      <c r="H43" s="2" t="n">
        <v>0</v>
      </c>
      <c r="I43" s="2" t="n">
        <v>0</v>
      </c>
      <c r="J43" s="2" t="n">
        <v>0</v>
      </c>
      <c r="K43" s="2" t="n"/>
      <c r="L43" s="2" t="inlineStr"/>
      <c r="M43" s="2" t="inlineStr"/>
      <c r="N43" s="2" t="inlineStr">
        <is>
          <t>Lithuania</t>
        </is>
      </c>
      <c r="O43" s="7" t="n">
        <v>49.67</v>
      </c>
      <c r="P43" s="2" t="n">
        <v>27</v>
      </c>
      <c r="Q43" s="2" t="n"/>
    </row>
    <row r="44">
      <c r="A44" s="2" t="inlineStr">
        <is>
          <t>Geidžiamiausias Vilniaus projektas „Sakai“ didina apsukas: pradeda naujo etapo pardavimus</t>
        </is>
      </c>
      <c r="B44" s="2">
        <f>HYPERLINK("https://www.delfi.lt/bustas/nt-rinka/geidziamiausias-vilniaus-projektas-sakai-didina-apsukas-pradeda-naujo-etapo-pardavimus-120198581")</f>
        <v/>
      </c>
      <c r="C44" s="2" t="inlineStr">
        <is>
          <t>Parengė Darnu Group, Bendrovės archyvas</t>
        </is>
      </c>
      <c r="D44" s="2" t="inlineStr">
        <is>
          <t>DELFI Lithuania</t>
        </is>
      </c>
      <c r="E44" s="8" t="n">
        <v>46041.12357638889</v>
      </c>
      <c r="F44" s="2" t="inlineStr">
        <is>
          <t>.“, – sako „Darnu Group“ pardavimų ir nuomos vadovas Mykolas Čiplys.
„Miško vilų“ kvartale iškils išraiškingi mažaaukštės architektūros namai. Pirmųjų aukštų gyventojams suplanuoti erdvūs privatūs kiemeliai, o viršutinių aukštų butams – į mišką atsiveriančios įspūdingos terasos.</t>
        </is>
      </c>
      <c r="G44" s="2" t="n">
        <v>1878795</v>
      </c>
      <c r="H44" s="2" t="n">
        <v>0</v>
      </c>
      <c r="I44" s="2" t="n">
        <v>0</v>
      </c>
      <c r="J44" s="2" t="n">
        <v>27</v>
      </c>
      <c r="K44" s="2" t="n"/>
      <c r="L44" s="2" t="inlineStr">
        <is>
          <t>Vilnius</t>
        </is>
      </c>
      <c r="M44" s="2" t="inlineStr"/>
      <c r="N44" s="2" t="inlineStr">
        <is>
          <t>Lithuania</t>
        </is>
      </c>
      <c r="O44" s="7" t="n">
        <v>9393.98</v>
      </c>
      <c r="P44" s="2" t="n">
        <v>81</v>
      </c>
      <c r="Q44" s="2" t="n"/>
    </row>
    <row r="45">
      <c r="A45" s="2" t="inlineStr">
        <is>
          <t>Geidžiamiausias Vilniaus projektas „Sakai“ didina apsukas: pradeda naujo etapo pardavimus</t>
        </is>
      </c>
      <c r="B45" s="2">
        <f>HYPERLINK("https://www.elta.lt/lt/pranesimai-spaudai/geidziamiausias-vilniaus-projektas-sakai-didina-apsukas-pradeda-naujo-etapo-pardavimus-260933")</f>
        <v/>
      </c>
      <c r="C45" s="2" t="inlineStr"/>
      <c r="D45" s="2" t="inlineStr">
        <is>
          <t>elta.lt</t>
        </is>
      </c>
      <c r="E45" s="8" t="n">
        <v>46041</v>
      </c>
      <c r="F45" s="2" t="inlineStr">
        <is>
          <t>Nekilnojamojo turto plėtros bendrovė „Darnu Group“ pradeda butų pardavimus jau statomame antrajame „Sakų“ projekto kvartale „Miško vilos“, įsikūrusiose šalia miškingo Karoliniškių kraštovaizdžio draustinio.</t>
        </is>
      </c>
      <c r="G45" s="2" t="n">
        <v>9121</v>
      </c>
      <c r="H45" s="2" t="n"/>
      <c r="I45" s="2" t="n"/>
      <c r="J45" s="2" t="n"/>
      <c r="K45" s="2" t="n"/>
      <c r="L45" s="2" t="inlineStr"/>
      <c r="M45" s="2" t="inlineStr"/>
      <c r="N45" s="2" t="inlineStr">
        <is>
          <t>Lithuania</t>
        </is>
      </c>
      <c r="O45" s="7" t="n">
        <v>84.37</v>
      </c>
      <c r="P45" s="2" t="n">
        <v>44</v>
      </c>
      <c r="Q45" s="2" t="n"/>
    </row>
    <row r="46">
      <c r="A46" s="2" t="inlineStr">
        <is>
          <t>Svarbiausi Lietuvos, verslo ir nekilnojamojo turto projektai 2026-aisiais</t>
        </is>
      </c>
      <c r="B46" s="2">
        <f>HYPERLINK("https://madeinvilnius.lt/verslas/nekilnojamas-turtas/svarbiausi-lietuvos-verslo-ir-nekilnojamojo-turto-projektai-2026-aisiais/")</f>
        <v/>
      </c>
      <c r="C46" s="2" t="inlineStr"/>
      <c r="D46" s="2" t="inlineStr">
        <is>
          <t>madeinvilnius.lt</t>
        </is>
      </c>
      <c r="E46" s="8" t="n">
        <v>46036.02083333334</v>
      </c>
      <c r="F46" s="2" t="inlineStr">
        <is>
          <t>MG grupės NT plėtros bendrovė „Darnu Group“ iki šių metų pabaigos visuomenei tikisi pristatyti apie 1 mlrd. eurų vertės gyvenamojo ir verslo kvartalo „Launagiai“Vilniaus pietinėje dalyje projektą.</t>
        </is>
      </c>
      <c r="G46" s="2" t="n">
        <v>349239</v>
      </c>
      <c r="H46" s="2" t="n">
        <v>0</v>
      </c>
      <c r="I46" s="2" t="n">
        <v>0</v>
      </c>
      <c r="J46" s="2" t="n">
        <v>6</v>
      </c>
      <c r="K46" s="2" t="n"/>
      <c r="L46" s="2" t="inlineStr"/>
      <c r="M46" s="2" t="inlineStr"/>
      <c r="N46" s="2" t="inlineStr">
        <is>
          <t>Lithuania</t>
        </is>
      </c>
      <c r="O46" s="7" t="n">
        <v>3230.46</v>
      </c>
      <c r="P46" s="2" t="n">
        <v>35</v>
      </c>
      <c r="Q46" s="2" t="n"/>
    </row>
    <row r="47">
      <c r="A47" s="2" t="inlineStr">
        <is>
          <t>Apžvalga: svarbiausi Lietuvos, verslo ir nekilnojamojo turto projektai 2026-aisiais</t>
        </is>
      </c>
      <c r="B47" s="2">
        <f>HYPERLINK("https://www.tv3.lt/naujiena/verslas/apzvalga-svarbiausi-lietuvos-verslo-ir-nekilnojamojo-turto-projektai-2026-aisiais-n1485047")</f>
        <v/>
      </c>
      <c r="C47" s="2" t="inlineStr">
        <is>
          <t>Roma Pakėnienė</t>
        </is>
      </c>
      <c r="D47" s="2" t="inlineStr">
        <is>
          <t>TV3 Lithuania</t>
        </is>
      </c>
      <c r="E47" s="8" t="n">
        <v>46035.19722222222</v>
      </c>
      <c r="F47" s="2" t="inlineStr">
        <is>
          <t>MG grupės NT plėtros bendrovė „Darnu Group“ iki šių metų pabaigos visuomenei tikisi pristatyti apie 1 mlrd. eurų vertės gyvenamojo ir verslo kvartalo „Launagiai“Vilniaus pietinėje dalyje projektą.</t>
        </is>
      </c>
      <c r="G47" s="2" t="n">
        <v>1240858</v>
      </c>
      <c r="H47" s="2" t="n">
        <v>0</v>
      </c>
      <c r="I47" s="2" t="n">
        <v>0</v>
      </c>
      <c r="J47" s="2" t="n">
        <v>0</v>
      </c>
      <c r="K47" s="2" t="n"/>
      <c r="L47" s="2" t="inlineStr">
        <is>
          <t>Vilnius</t>
        </is>
      </c>
      <c r="M47" s="2" t="inlineStr"/>
      <c r="N47" s="2" t="inlineStr">
        <is>
          <t>Lithuania</t>
        </is>
      </c>
      <c r="O47" s="7" t="n">
        <v>11477.94</v>
      </c>
      <c r="P47" s="2" t="n">
        <v>60</v>
      </c>
      <c r="Q47" s="2" t="n"/>
    </row>
    <row r="48">
      <c r="A48" s="2" t="inlineStr">
        <is>
          <t>Svarbiausi Lietuvos, verslo ir nekilnojamojo turto projektai 2026-aisiais</t>
        </is>
      </c>
      <c r="B48" s="2">
        <f>HYPERLINK("https://klaipeda.diena.lt/naujienos/verslas/ekonomika/svarbiausi-lietuvos-verslo-ir-nekilnojamojo-turto-projektai-2026-aisiais-1737166")</f>
        <v/>
      </c>
      <c r="C48" s="2" t="inlineStr"/>
      <c r="D48" s="2" t="inlineStr">
        <is>
          <t>diena.lt</t>
        </is>
      </c>
      <c r="E48" s="8" t="n">
        <v>46035.13298611111</v>
      </c>
      <c r="F48" s="2" t="inlineStr">
        <is>
          <t>MG grupės NT plėtros bendrovė „Darnu Group“ iki šių metų pabaigos visuomenei tikisi pristatyti apie 1 mlrd. eurų vertės gyvenamojo ir verslo kvartalo „Launagiai“Vilniaus pietinėje dalyje projektą.</t>
        </is>
      </c>
      <c r="G48" s="2" t="n">
        <v>486179</v>
      </c>
      <c r="H48" s="2" t="n">
        <v>0</v>
      </c>
      <c r="I48" s="2" t="n">
        <v>0</v>
      </c>
      <c r="J48" s="2" t="n">
        <v>0</v>
      </c>
      <c r="K48" s="2" t="n"/>
      <c r="L48" s="2" t="inlineStr">
        <is>
          <t>Vilnius</t>
        </is>
      </c>
      <c r="M48" s="2" t="inlineStr">
        <is>
          <t>Vilnius</t>
        </is>
      </c>
      <c r="N48" s="2" t="inlineStr">
        <is>
          <t>Lithuania</t>
        </is>
      </c>
      <c r="O48" s="7" t="n">
        <v>4497.16</v>
      </c>
      <c r="P48" s="2" t="n">
        <v>58</v>
      </c>
      <c r="Q48" s="2" t="n"/>
    </row>
    <row r="49">
      <c r="A49" s="2" t="inlineStr">
        <is>
          <t>Svarbiausi Lietuvos, verslo ir nekilnojamojo turto projektai 2026-aisiais</t>
        </is>
      </c>
      <c r="B49" s="2">
        <f>HYPERLINK("https://diena.lt/naujienos/verslas/ekonomika/svarbiausi-lietuvos-verslo-ir-nekilnojamojo-turto-projektai-2026-aisiais-1737166")</f>
        <v/>
      </c>
      <c r="C49" s="2" t="inlineStr">
        <is>
          <t>Algimantė Ambrulaitytė, Roma Pakėnienė</t>
        </is>
      </c>
      <c r="D49" s="2" t="inlineStr">
        <is>
          <t>diena.lt</t>
        </is>
      </c>
      <c r="E49" s="8" t="n">
        <v>46035.13180555555</v>
      </c>
      <c r="F49" s="2" t="inlineStr">
        <is>
          <t>MG grupės NT plėtros bendrovė „Darnu Group“ iki šių metų pabaigos visuomenei tikisi pristatyti apie 1 mlrd. eurų vertės gyvenamojo ir verslo kvartalo „Launagiai“Vilniaus pietinėje dalyje projektą.</t>
        </is>
      </c>
      <c r="G49" s="2" t="n">
        <v>486179</v>
      </c>
      <c r="H49" s="2" t="n">
        <v>0</v>
      </c>
      <c r="I49" s="2" t="n">
        <v>0</v>
      </c>
      <c r="J49" s="2" t="n">
        <v>0</v>
      </c>
      <c r="K49" s="2" t="n"/>
      <c r="L49" s="2" t="inlineStr">
        <is>
          <t>Vilnius</t>
        </is>
      </c>
      <c r="M49" s="2" t="inlineStr">
        <is>
          <t>Vilnius</t>
        </is>
      </c>
      <c r="N49" s="2" t="inlineStr">
        <is>
          <t>Lithuania</t>
        </is>
      </c>
      <c r="O49" s="7" t="n">
        <v>4497.16</v>
      </c>
      <c r="P49" s="2" t="n">
        <v>58</v>
      </c>
      <c r="Q49" s="2" t="n"/>
    </row>
    <row r="50">
      <c r="A50" s="2" t="inlineStr">
        <is>
          <t>Svarbiausi Lietuvos, verslo ir nekilnojamojo turto projektai 2026-aisiais</t>
        </is>
      </c>
      <c r="B50" s="2">
        <f>HYPERLINK("https://kauno.diena.lt/naujienos/verslas/ekonomika/svarbiausi-lietuvos-verslo-ir-nekilnojamojo-turto-projektai-2026-aisiais-1737166")</f>
        <v/>
      </c>
      <c r="C50" s="2" t="inlineStr">
        <is>
          <t>Algimantė Ambrulaitytė, Roma Pakėnienė</t>
        </is>
      </c>
      <c r="D50" s="2" t="inlineStr">
        <is>
          <t>Kauno diena</t>
        </is>
      </c>
      <c r="E50" s="8" t="n">
        <v>46035.13078703704</v>
      </c>
      <c r="F50" s="2" t="inlineStr">
        <is>
          <t>MG grupės NT plėtros bendrovė „Darnu Group“ iki šių metų pabaigos visuomenei tikisi pristatyti apie 1 mlrd. eurų vertės gyvenamojo ir verslo kvartalo „Launagiai“Vilniaus pietinėje dalyje projektą.</t>
        </is>
      </c>
      <c r="G50" s="2" t="n">
        <v>341490</v>
      </c>
      <c r="H50" s="2" t="n">
        <v>0</v>
      </c>
      <c r="I50" s="2" t="n">
        <v>0</v>
      </c>
      <c r="J50" s="2" t="n">
        <v>22</v>
      </c>
      <c r="K50" s="2" t="n"/>
      <c r="L50" s="2" t="inlineStr">
        <is>
          <t>Kaunas</t>
        </is>
      </c>
      <c r="M50" s="2" t="inlineStr"/>
      <c r="N50" s="2" t="inlineStr">
        <is>
          <t>Lithuania</t>
        </is>
      </c>
      <c r="O50" s="7" t="n">
        <v>3158.78</v>
      </c>
      <c r="P50" s="2" t="n">
        <v>58</v>
      </c>
      <c r="Q50" s="2" t="n"/>
    </row>
    <row r="51">
      <c r="A51" s="2" t="inlineStr">
        <is>
          <t>Svarbiausi Lietuvos, verslo ir nekilnojamojo turto projektai 2026-aisiais  - BNS APŽVALGA | Naujiena | BNS.lt</t>
        </is>
      </c>
      <c r="B51" s="2">
        <f>HYPERLINK("https://bns.lt/naujiena/svarbiausi-lietuvos-verslo-ir-nekilnojamojo-turto-projektai-2026-aisiais-bns-apzvalga-dasb0syi")</f>
        <v/>
      </c>
      <c r="C51" s="2" t="inlineStr"/>
      <c r="D51" s="2" t="inlineStr">
        <is>
          <t>Baltic News Service (Lithuania)</t>
        </is>
      </c>
      <c r="E51" s="8" t="n">
        <v>46035</v>
      </c>
      <c r="F51" s="2" t="inlineStr">
        <is>
          <t>MG grupės NT plėtros bendrovė „Darnu Group“ iki šių metų pabaigos visuomenei tikisi pristatyti apie 1 mlrd. eurų vertės gyvenamojo ir verslo kvartalo „Launagiai“Vilniaus pietinėje dalyje projektą.</t>
        </is>
      </c>
      <c r="G51" s="2" t="n">
        <v>32397</v>
      </c>
      <c r="H51" s="2" t="n">
        <v>0</v>
      </c>
      <c r="I51" s="2" t="n">
        <v>0</v>
      </c>
      <c r="J51" s="2" t="n">
        <v>42</v>
      </c>
      <c r="K51" s="2" t="n"/>
      <c r="L51" s="2" t="inlineStr">
        <is>
          <t>Vilnius</t>
        </is>
      </c>
      <c r="M51" s="2" t="inlineStr"/>
      <c r="N51" s="2" t="inlineStr">
        <is>
          <t>Lithuania</t>
        </is>
      </c>
      <c r="O51" s="7" t="n">
        <v>299.67</v>
      </c>
      <c r="P51" s="2" t="n">
        <v>55</v>
      </c>
      <c r="Q51" s="2" t="n"/>
    </row>
    <row r="52">
      <c r="A52" s="2" t="inlineStr">
        <is>
          <t>Logistikos NT paradoksai: stabilus, patrauklus, bet konkurencinę kovą pralaimi</t>
        </is>
      </c>
      <c r="B52" s="2">
        <f>HYPERLINK("https://www.vz.lt/statyba-ir-nt/2026/01/13/logistikos-nt-paradoksai-stabilus-patrauklus-bet-konkurencine-kova-pralaimi-578996")</f>
        <v/>
      </c>
      <c r="C52" s="2" t="inlineStr">
        <is>
          <t>Evelina Povilaitytė</t>
        </is>
      </c>
      <c r="D52" s="2" t="inlineStr">
        <is>
          <t>Verslo Žinios</t>
        </is>
      </c>
      <c r="E52" s="8" t="n">
        <v>46034.94791666666</v>
      </c>
      <c r="F52" s="2" t="inlineStr">
        <is>
          <t>Iš kairės: Mykolas Čiplys, „Darnu Group“ pardavimų ir nuomos vadovas, Gediminas Baltakis, „Investicijų valdymas Prosperus“ direktorius, ir Regimantas Kacevičius, „Colliers International Advisors“ partneris. VŽ koliažas.</t>
        </is>
      </c>
      <c r="G52" s="2" t="n">
        <v>1213714</v>
      </c>
      <c r="H52" s="2" t="n">
        <v>0</v>
      </c>
      <c r="I52" s="2" t="n">
        <v>0</v>
      </c>
      <c r="J52" s="2" t="n">
        <v>2</v>
      </c>
      <c r="K52" s="2" t="n"/>
      <c r="L52" s="2" t="inlineStr">
        <is>
          <t>Vilnius</t>
        </is>
      </c>
      <c r="M52" s="2" t="inlineStr"/>
      <c r="N52" s="2" t="inlineStr">
        <is>
          <t>Lithuania</t>
        </is>
      </c>
      <c r="O52" s="7" t="n">
        <v>11226.85</v>
      </c>
      <c r="P52" s="2" t="n">
        <v>58</v>
      </c>
      <c r="Q52" s="2" t="n"/>
    </row>
    <row r="53">
      <c r="A53" s="2" t="inlineStr">
        <is>
          <t>Statybunaujienos.lt - „Vandens formos“ Palangoje: 33 prabangūs apartamentai su konsjeržo paslauga ir meniniais akcentais</t>
        </is>
      </c>
      <c r="B53" s="2">
        <f>HYPERLINK("https://www.statybunaujienos.lt/naujiena/Vandens-formos-Palangoje-33-prabangus-apartamentai-su-konsjerzo-paslauga-ir-meniniais-akcentais/25853")</f>
        <v/>
      </c>
      <c r="C53" s="2" t="inlineStr"/>
      <c r="D53" s="2" t="inlineStr">
        <is>
          <t>statybunaujienos.lt</t>
        </is>
      </c>
      <c r="E53" s="8" t="n">
        <v>46028.28329861111</v>
      </c>
      <c r="F53" s="2"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G53" s="2" t="n">
        <v>5370</v>
      </c>
      <c r="H53" s="2" t="n">
        <v>0</v>
      </c>
      <c r="I53" s="2" t="n">
        <v>0</v>
      </c>
      <c r="J53" s="2" t="n">
        <v>0</v>
      </c>
      <c r="K53" s="2" t="n"/>
      <c r="L53" s="2" t="inlineStr"/>
      <c r="M53" s="2" t="inlineStr"/>
      <c r="N53" s="2" t="inlineStr">
        <is>
          <t>Lithuania</t>
        </is>
      </c>
      <c r="O53" s="7" t="n">
        <v>49.67</v>
      </c>
      <c r="P53" s="2" t="n">
        <v>27</v>
      </c>
      <c r="Q53" s="2" t="n"/>
    </row>
    <row r="54">
      <c r="A54" s="2" t="inlineStr">
        <is>
          <t>TOP 10 Statybos ir NT rubrikoje skaitytojų įvertintų tekstų 2025 m.</t>
        </is>
      </c>
      <c r="B54" s="2">
        <f>HYPERLINK("https://www.vz.lt/statyba-ir-nt/2026/01/02/top-10-statybos-ir-nt-rubrikoje-skaitytoju-ivertintu-tekstu-2025-m-578651")</f>
        <v/>
      </c>
      <c r="C54" s="2" t="inlineStr">
        <is>
          <t>Evelina Povilaitytė</t>
        </is>
      </c>
      <c r="D54" s="2" t="inlineStr">
        <is>
          <t>Verslo Žinios</t>
        </is>
      </c>
      <c r="E54" s="8" t="n">
        <v>46023.94791666666</v>
      </c>
      <c r="F54" s="2" t="inlineStr">
        <is>
          <t>Tarp pašalintų iš Rūdninkų karinio miestelio PPP atrankos – „Darnu Group“ ir „Infes“
Rūdninkų karinio miestelio privataus partnerio atrankoje pasiūlymų teikti nepakviestos NT plėtros bendrovė „Darnu Group“ ir statybos įmonė „Infes“. Vėliau A.</t>
        </is>
      </c>
      <c r="G54" s="2" t="n">
        <v>1213714</v>
      </c>
      <c r="H54" s="2" t="n">
        <v>0</v>
      </c>
      <c r="I54" s="2" t="n">
        <v>0</v>
      </c>
      <c r="J54" s="2" t="n">
        <v>0</v>
      </c>
      <c r="K54" s="2" t="n"/>
      <c r="L54" s="2" t="inlineStr">
        <is>
          <t>Vilnius</t>
        </is>
      </c>
      <c r="M54" s="2" t="inlineStr"/>
      <c r="N54" s="2" t="inlineStr">
        <is>
          <t>Lithuania</t>
        </is>
      </c>
      <c r="O54" s="7" t="n">
        <v>11226.85</v>
      </c>
      <c r="P54" s="2" t="n">
        <v>58</v>
      </c>
      <c r="Q54"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2026-02-18T13:11:12Z</dcterms:created>
  <dcterms:modified xmlns:dcterms="http://purl.org/dc/terms/" xmlns:xsi="http://www.w3.org/2001/XMLSchema-instance" xsi:type="dcterms:W3CDTF">2026-02-18T13:11:12Z</dcterms:modified>
</cp:coreProperties>
</file>