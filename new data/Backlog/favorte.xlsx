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ti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_-"/>
    <numFmt numFmtId="166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6">
    <xf numFmtId="0" fontId="0" fillId="0" borderId="0"/>
    <xf numFmtId="0" fontId="1" fillId="0" borderId="1"/>
    <xf numFmtId="0" fontId="2" fillId="0" borderId="1" applyAlignment="1">
      <alignment vertical="top" wrapText="1"/>
    </xf>
    <xf numFmtId="164" fontId="2" fillId="0" borderId="1" applyAlignment="1">
      <alignment vertical="top" wrapText="1"/>
    </xf>
    <xf numFmtId="165" fontId="2" fillId="0" borderId="1" applyAlignment="1">
      <alignment vertical="top" wrapText="1"/>
    </xf>
    <xf numFmtId="166" fontId="2" fillId="0" borderId="1" applyAlignment="1">
      <alignment vertical="top" wrapText="1"/>
    </xf>
  </cellStyleXfs>
  <cellXfs count="9">
    <xf numFmtId="0" fontId="0" fillId="0" borderId="0" pivotButton="0" quotePrefix="0" xfId="0"/>
    <xf numFmtId="0" fontId="1" fillId="0" borderId="1" pivotButton="0" quotePrefix="0" xfId="1"/>
    <xf numFmtId="0" fontId="2" fillId="0" borderId="1" applyAlignment="1" pivotButton="0" quotePrefix="0" xfId="2">
      <alignment vertical="top" wrapText="1"/>
    </xf>
    <xf numFmtId="164" fontId="2" fillId="0" borderId="1" applyAlignment="1" pivotButton="0" quotePrefix="0" xfId="3">
      <alignment vertical="top" wrapText="1"/>
    </xf>
    <xf numFmtId="165" fontId="2" fillId="0" borderId="1" applyAlignment="1" pivotButton="0" quotePrefix="0" xfId="4">
      <alignment vertical="top" wrapText="1"/>
    </xf>
    <xf numFmtId="166" fontId="2" fillId="0" borderId="1" applyAlignment="1" pivotButton="0" quotePrefix="0" xfId="5">
      <alignment vertical="top" wrapText="1"/>
    </xf>
    <xf numFmtId="164" fontId="2" fillId="0" borderId="1" applyAlignment="1" pivotButton="0" quotePrefix="0" xfId="3">
      <alignment vertical="top" wrapText="1"/>
    </xf>
    <xf numFmtId="165" fontId="2" fillId="0" borderId="1" applyAlignment="1" pivotButton="0" quotePrefix="0" xfId="4">
      <alignment vertical="top" wrapText="1"/>
    </xf>
    <xf numFmtId="166" fontId="2" fillId="0" borderId="1" applyAlignment="1" pivotButton="0" quotePrefix="0" xfId="5">
      <alignment vertical="top" wrapText="1"/>
    </xf>
  </cellXfs>
  <cellStyles count="6">
    <cellStyle name="Normal" xfId="0" builtinId="0" hidden="0"/>
    <cellStyle name="mr_header" xfId="1" hidden="0"/>
    <cellStyle name="mr_normal" xfId="2" hidden="0"/>
    <cellStyle name="mr_date" xfId="3" hidden="0"/>
    <cellStyle name="mr_currency" xfId="4" hidden="0"/>
    <cellStyle name="mr_datetim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</cols>
  <sheetData>
    <row r="1">
      <c r="A1" s="1" t="inlineStr">
        <is>
          <t>Report</t>
        </is>
      </c>
      <c r="B1" s="2" t="inlineStr">
        <is>
          <t>favorte</t>
        </is>
      </c>
    </row>
    <row r="2">
      <c r="A2" s="1" t="inlineStr">
        <is>
          <t>URL</t>
        </is>
      </c>
      <c r="B2" s="2">
        <f>HYPERLINK("https://particle-agency.muckrack.com/coverage-reports/gnZM/edit/")</f>
        <v/>
      </c>
    </row>
    <row r="3">
      <c r="A3" s="1" t="inlineStr">
        <is>
          <t>Exported On</t>
        </is>
      </c>
      <c r="B3" s="6" t="n">
        <v>46071</v>
      </c>
    </row>
    <row r="4">
      <c r="A4" s="1" t="inlineStr">
        <is>
          <t>Generated By</t>
        </is>
      </c>
      <c r="B4" s="2" t="inlineStr">
        <is>
          <t>Ieva Mackeviciute</t>
        </is>
      </c>
    </row>
    <row r="6">
      <c r="A6" s="1" t="inlineStr">
        <is>
          <t>Links</t>
        </is>
      </c>
      <c r="B6" s="2" t="n">
        <v>1</v>
      </c>
    </row>
    <row r="7">
      <c r="A7" s="1" t="inlineStr">
        <is>
          <t>Total Engagement</t>
        </is>
      </c>
      <c r="B7" s="2" t="n">
        <v>0</v>
      </c>
    </row>
    <row r="8">
      <c r="A8" s="1" t="inlineStr">
        <is>
          <t>Average Engagement</t>
        </is>
      </c>
      <c r="B8" s="2" t="n">
        <v>0</v>
      </c>
    </row>
    <row r="9">
      <c r="A9" s="1" t="inlineStr">
        <is>
          <t>Total UVM (Insights by Similarweb)</t>
        </is>
      </c>
      <c r="B9" s="2" t="n">
        <v>7400</v>
      </c>
    </row>
    <row r="10">
      <c r="A10" s="1" t="inlineStr">
        <is>
          <t>Total AVE</t>
        </is>
      </c>
      <c r="B10" s="7" t="n">
        <v>68.45</v>
      </c>
    </row>
    <row r="11">
      <c r="A11" s="1" t="inlineStr">
        <is>
          <t>Total Journalist Shares</t>
        </is>
      </c>
      <c r="B11" s="2" t="n">
        <v>0</v>
      </c>
    </row>
    <row r="12">
      <c r="A12" s="1" t="inlineStr">
        <is>
          <t>Total Journalist Reach</t>
        </is>
      </c>
      <c r="B1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24" customWidth="1" min="3" max="3"/>
    <col width="24" customWidth="1" min="4" max="4"/>
    <col width="19" customWidth="1" min="5" max="5"/>
    <col width="48" customWidth="1" min="6" max="6"/>
    <col width="28" customWidth="1" min="7" max="7"/>
    <col width="26" customWidth="1" min="8" max="8"/>
    <col width="17" customWidth="1" min="9" max="9"/>
    <col width="16" customWidth="1" min="10" max="10"/>
    <col width="16" customWidth="1" min="11" max="11"/>
    <col width="13" customWidth="1" min="12" max="12"/>
    <col width="17" customWidth="1" min="13" max="13"/>
    <col width="19" customWidth="1" min="14" max="14"/>
    <col width="24" customWidth="1" min="15" max="15"/>
    <col width="29" customWidth="1" min="16" max="16"/>
    <col width="24" customWidth="1" min="17" max="17"/>
  </cols>
  <sheetData>
    <row r="1">
      <c r="A1" s="1" t="inlineStr">
        <is>
          <t>Article</t>
        </is>
      </c>
      <c r="B1" s="1" t="inlineStr">
        <is>
          <t>URL</t>
        </is>
      </c>
      <c r="C1" s="1" t="inlineStr">
        <is>
          <t>Author</t>
        </is>
      </c>
      <c r="D1" s="1" t="inlineStr">
        <is>
          <t>Media Outlet</t>
        </is>
      </c>
      <c r="E1" s="1" t="inlineStr">
        <is>
          <t>Published</t>
        </is>
      </c>
      <c r="F1" s="1" t="inlineStr">
        <is>
          <t>Snippet</t>
        </is>
      </c>
      <c r="G1" s="1" t="inlineStr">
        <is>
          <t>UVM (Insights by Similarweb)</t>
        </is>
      </c>
      <c r="H1" s="1" t="inlineStr">
        <is>
          <t>UVM (provided by Comscore)</t>
        </is>
      </c>
      <c r="I1" s="1" t="inlineStr">
        <is>
          <t>Journalist Shares</t>
        </is>
      </c>
      <c r="J1" s="1" t="inlineStr">
        <is>
          <t>Journalist Reach</t>
        </is>
      </c>
      <c r="K1" s="1" t="inlineStr">
        <is>
          <t>Total Engagement</t>
        </is>
      </c>
      <c r="L1" s="1" t="inlineStr">
        <is>
          <t>Sentiment</t>
        </is>
      </c>
      <c r="M1" s="1" t="inlineStr">
        <is>
          <t>Media Outlet City</t>
        </is>
      </c>
      <c r="N1" s="1" t="inlineStr">
        <is>
          <t>Media Outlet Region</t>
        </is>
      </c>
      <c r="O1" s="1" t="inlineStr">
        <is>
          <t>Media Outlet Country</t>
        </is>
      </c>
      <c r="P1" s="1" t="inlineStr">
        <is>
          <t>Advertising Value Equivalency</t>
        </is>
      </c>
      <c r="Q1" s="1" t="inlineStr">
        <is>
          <t>Pitch Placement</t>
        </is>
      </c>
    </row>
    <row r="2">
      <c r="A2" s="2" t="inlineStr">
        <is>
          <t>Vanalinna Ehitus rajab Tallinna kesklinna uue kortermaja</t>
        </is>
      </c>
      <c r="B2" s="2">
        <f>HYPERLINK("https://www.ehitusuudised.ee/uudised/2026/01/30/vanalinna-ehitus-rajab-tallinna-kesklinna-uue-kortermaja")</f>
        <v/>
      </c>
      <c r="C2" s="2" t="inlineStr"/>
      <c r="D2" s="2" t="inlineStr">
        <is>
          <t>ehitusuudised.ee</t>
        </is>
      </c>
      <c r="E2" s="8" t="n">
        <v>46052</v>
      </c>
      <c r="F2" s="2" t="inlineStr">
        <is>
          <t>Seotud lood
17. detsembril sõlmisid Vanalinna Ehitus OÜ ja Favorte Kinnisvara tütarettevõte ettevõte Väo Äripark OÜ töövõtulepingu kahe uue ärihoone rajamiseks Tallinnas, Lasnamäe linnaosas.</t>
        </is>
      </c>
      <c r="G2" s="2" t="n">
        <v>7400</v>
      </c>
      <c r="H2" s="2" t="n"/>
      <c r="I2" s="2" t="n"/>
      <c r="J2" s="2" t="n"/>
      <c r="K2" s="2" t="n"/>
      <c r="L2" s="2" t="n"/>
      <c r="M2" s="2" t="inlineStr"/>
      <c r="N2" s="2" t="inlineStr"/>
      <c r="O2" s="2" t="inlineStr">
        <is>
          <t>Estonia</t>
        </is>
      </c>
      <c r="P2" s="7" t="n">
        <v>68.45</v>
      </c>
      <c r="Q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2026-02-18T13:11:42Z</dcterms:created>
  <dcterms:modified xmlns:dcterms="http://purl.org/dc/terms/" xmlns:xsi="http://www.w3.org/2001/XMLSchema-instance" xsi:type="dcterms:W3CDTF">2026-02-18T13:11:42Z</dcterms:modified>
</cp:coreProperties>
</file>