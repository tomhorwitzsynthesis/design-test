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EIKA</t>
        </is>
      </c>
    </row>
    <row r="2">
      <c r="A2" s="1" t="inlineStr">
        <is>
          <t>URL</t>
        </is>
      </c>
      <c r="B2" s="2">
        <f>HYPERLINK("https://particle-agency.muckrack.com/coverage-reports/gMXx/edit/")</f>
        <v/>
      </c>
    </row>
    <row r="3">
      <c r="A3" s="1" t="inlineStr">
        <is>
          <t>Exported On</t>
        </is>
      </c>
      <c r="B3" s="6" t="n">
        <v>46083</v>
      </c>
    </row>
    <row r="4">
      <c r="A4" s="1" t="inlineStr">
        <is>
          <t>Generated By</t>
        </is>
      </c>
      <c r="B4" s="2" t="inlineStr">
        <is>
          <t>Ieva Mackeviciute</t>
        </is>
      </c>
    </row>
    <row r="6">
      <c r="A6" s="1" t="inlineStr">
        <is>
          <t>Links</t>
        </is>
      </c>
      <c r="B6" s="2" t="n">
        <v>99</v>
      </c>
    </row>
    <row r="7">
      <c r="A7" s="1" t="inlineStr">
        <is>
          <t>Total Engagement</t>
        </is>
      </c>
      <c r="B7" s="2" t="n">
        <v>2</v>
      </c>
    </row>
    <row r="8">
      <c r="A8" s="1" t="inlineStr">
        <is>
          <t>Average Engagement</t>
        </is>
      </c>
      <c r="B8" s="2" t="n">
        <v>0</v>
      </c>
    </row>
    <row r="9">
      <c r="A9" s="1" t="inlineStr">
        <is>
          <t>Total UVM (Insights by Similarweb)</t>
        </is>
      </c>
      <c r="B9" s="2" t="n">
        <v>65959023</v>
      </c>
    </row>
    <row r="10">
      <c r="A10" s="1" t="inlineStr">
        <is>
          <t>Total AVE</t>
        </is>
      </c>
      <c r="B10" s="7" t="n">
        <v>506317.55</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Мэр Вильнюса просит Строительную инспекцию ответить на вопрос, почему до сих пор не снесен "Дом Москвы"</t>
        </is>
      </c>
      <c r="B2" s="2">
        <f>HYPERLINK("https://www.delfi.lt/ru/news/live/mer-vilnyusa-prosit-stroitelnuyu-inspekciyu-otvetit-na-vopros-pochemu-do-sih-por-ne-snesen-dom-moskvy-120217772")</f>
        <v/>
      </c>
      <c r="C2" s="2" t="inlineStr"/>
      <c r="D2" s="2" t="inlineStr">
        <is>
          <t>DELFI Lithuania</t>
        </is>
      </c>
      <c r="E2" s="8" t="n">
        <v>46081.24234953704</v>
      </c>
      <c r="F2" s="2" t="inlineStr">
        <is>
          <t>Он обратился к 6 строительным компаниям: Gilesta, Naresta, YIT Lietuva, Tilsta, Hiltus и Eika Construction.
Горбачёвас сказал, что инициативу мэра комментировать не будет, а инспекция обязаны следовать действующим законам.</t>
        </is>
      </c>
      <c r="G2" s="2" t="n">
        <v>1878795</v>
      </c>
      <c r="H2" s="2" t="n"/>
      <c r="I2" s="2" t="n"/>
      <c r="J2" s="2" t="n"/>
      <c r="K2" s="2" t="n"/>
      <c r="L2" s="2" t="inlineStr">
        <is>
          <t>Vilnius</t>
        </is>
      </c>
      <c r="M2" s="2" t="inlineStr"/>
      <c r="N2" s="2" t="inlineStr">
        <is>
          <t>Lithuania</t>
        </is>
      </c>
      <c r="O2" s="7" t="n">
        <v>9393.98</v>
      </c>
      <c r="P2" s="2" t="n">
        <v>82</v>
      </c>
      <c r="Q2" s="2" t="n"/>
    </row>
    <row r="3">
      <c r="A3" s="2" t="inlineStr">
        <is>
          <t>Sostinės meras prašo Statybos inspekcijos atsakymų dėl nenugriautų Maskvos namų</t>
        </is>
      </c>
      <c r="B3" s="2">
        <f>HYPERLINK("https://www.lrt.lt/naujienos/verslas/4/2853031/sostines-meras-praso-statybos-inspekcijos-atsakymu-del-nenugriautu-maskvos-namu")</f>
        <v/>
      </c>
      <c r="C3" s="2" t="inlineStr">
        <is>
          <t>Algimantė Ambrulaitytė</t>
        </is>
      </c>
      <c r="D3" s="2" t="inlineStr">
        <is>
          <t>Lithuanian National Radio and Television (LRT)</t>
        </is>
      </c>
      <c r="E3" s="8" t="n">
        <v>46081.11501157407</v>
      </c>
      <c r="F3" s="2" t="inlineStr">
        <is>
          <t>Jis tą padaryti pasiūlė šešioms įmonėms, tai – „Gilesta“, „Naresta“, „YIT Lietuva“, „Tilsta“, „Hiltus“ ir „Eika Construction“.
Statybos inspekcijos atstovas R. Gorbačiovas BNS teigė, kad įstaiga šios mero iniciatyvos nekomentuos.
„Inspekcija nevertina viešų pareiškimų ar iniciatyvų.</t>
        </is>
      </c>
      <c r="G3" s="2" t="n">
        <v>1529307</v>
      </c>
      <c r="H3" s="2" t="n"/>
      <c r="I3" s="2" t="n"/>
      <c r="J3" s="2" t="n"/>
      <c r="K3" s="2" t="n"/>
      <c r="L3" s="2" t="inlineStr">
        <is>
          <t>Vilnius</t>
        </is>
      </c>
      <c r="M3" s="2" t="inlineStr">
        <is>
          <t>Vilniaus Apskritis</t>
        </is>
      </c>
      <c r="N3" s="2" t="inlineStr">
        <is>
          <t>Lithuania</t>
        </is>
      </c>
      <c r="O3" s="7" t="n">
        <v>14146.09</v>
      </c>
      <c r="P3" s="2" t="n">
        <v>68</v>
      </c>
      <c r="Q3" s="2" t="n"/>
    </row>
    <row r="4">
      <c r="A4" s="2" t="inlineStr">
        <is>
          <t>Sostinės meras prašo Statybos inspekcijos atsakymų dėl nenugriautų Maskvos namų</t>
        </is>
      </c>
      <c r="B4" s="2">
        <f>HYPERLINK("https://diena.lt/naujienos/vilnius/miesto-pulsas/sostines-meras-praso-statybos-inspekcijos-atsakymu-del-nenugriautu-maskvos-namu-1744653")</f>
        <v/>
      </c>
      <c r="C4" s="2" t="inlineStr">
        <is>
          <t>Algimantė Ambrulaitytė</t>
        </is>
      </c>
      <c r="D4" s="2" t="inlineStr">
        <is>
          <t>diena.lt</t>
        </is>
      </c>
      <c r="E4" s="8" t="n">
        <v>46081.10045138889</v>
      </c>
      <c r="F4" s="2" t="inlineStr">
        <is>
          <t>Jis tą padaryti pasiūlė šešioms įmonėms, tai – „Gilesta“, „Naresta“, „YIT Lietuva“, „Tilsta“, „Hiltus“ ir „Eika Construction“.
Statybos inspekcijos atstovas R. Gorbačiovas BNS teigė, kad įstaiga šios mero iniciatyvos nekomentuos.
„Inspekcija nevertina viešų pareiškimų ar iniciatyvų.</t>
        </is>
      </c>
      <c r="G4" s="2" t="n">
        <v>486179</v>
      </c>
      <c r="H4" s="2" t="n"/>
      <c r="I4" s="2" t="n"/>
      <c r="J4" s="2" t="n"/>
      <c r="K4" s="2" t="n"/>
      <c r="L4" s="2" t="inlineStr">
        <is>
          <t>Vilnius</t>
        </is>
      </c>
      <c r="M4" s="2" t="inlineStr">
        <is>
          <t>Vilnius</t>
        </is>
      </c>
      <c r="N4" s="2" t="inlineStr">
        <is>
          <t>Lithuania</t>
        </is>
      </c>
      <c r="O4" s="7" t="n">
        <v>4497.16</v>
      </c>
      <c r="P4" s="2" t="n">
        <v>58</v>
      </c>
      <c r="Q4" s="2" t="n"/>
    </row>
    <row r="5">
      <c r="A5" s="2" t="inlineStr">
        <is>
          <t>Sostinės meras prašo Statybos inspekcijos atsakymų dėl nenugriautų Maskvos namų, ieško kitų būdų</t>
        </is>
      </c>
      <c r="B5" s="2">
        <f>HYPERLINK("https://www.15min.lt/naujiena/aktualu/lietuva/sostines-meras-praso-statybos-inspekcijos-atsakymu-del-nenugriautu-maskvos-namu-iesko-kitu-budu-56-2631534")</f>
        <v/>
      </c>
      <c r="C5" s="2" t="inlineStr">
        <is>
          <t>Algimantė Ambrulaitytė</t>
        </is>
      </c>
      <c r="D5" s="2" t="inlineStr">
        <is>
          <t>15min</t>
        </is>
      </c>
      <c r="E5" s="8" t="n">
        <v>46081.09844907407</v>
      </c>
      <c r="F5" s="2" t="inlineStr">
        <is>
          <t>Jis tą padaryti pasiūlė šešioms įmonėms, tai – „Gilesta“, „Naresta“, „YIT Lietuva“, „Tilsta“, „Hiltus“ ir „Eika Construction“.
Statybos inspekcijos atstovas R. Gorbačiovas BNS teigė, kad įstaiga šios mero iniciatyvos nekomentuos.
„Inspekcija nevertina viešų pareiškimų ar iniciatyvų.</t>
        </is>
      </c>
      <c r="G5" s="2" t="n">
        <v>1426746</v>
      </c>
      <c r="H5" s="2" t="n"/>
      <c r="I5" s="2" t="n"/>
      <c r="J5" s="2" t="n"/>
      <c r="K5" s="2" t="n"/>
      <c r="L5" s="2" t="inlineStr">
        <is>
          <t>Vilnius</t>
        </is>
      </c>
      <c r="M5" s="2" t="inlineStr">
        <is>
          <t>Vilniaus Apskritis</t>
        </is>
      </c>
      <c r="N5" s="2" t="inlineStr">
        <is>
          <t>Lithuania</t>
        </is>
      </c>
      <c r="O5" s="7" t="n">
        <v>13197.4</v>
      </c>
      <c r="P5" s="2" t="n">
        <v>73</v>
      </c>
      <c r="Q5" s="2" t="n"/>
    </row>
    <row r="6">
      <c r="A6" s="2" t="inlineStr">
        <is>
          <t>Sostinės meras prašo Statybos inspekcijos atsakymų dėl nenugriautų Maskvos namų, ieško kitų būdų - SPECIALIAI BNS</t>
        </is>
      </c>
      <c r="B6" s="2">
        <f>HYPERLINK("https://bns.lt/naujiena/sostines-meras-praso-statybos-inspekcijos-atsakymu-del-nenugriautu-maskvos-namu-iesko-kitu-budu-specialiai-bns-x5ehq6au")</f>
        <v/>
      </c>
      <c r="C6" s="2" t="inlineStr"/>
      <c r="D6" s="2" t="inlineStr">
        <is>
          <t>Baltic News Service (Lithuania)</t>
        </is>
      </c>
      <c r="E6" s="8" t="n">
        <v>46081</v>
      </c>
      <c r="F6" s="2" t="inlineStr">
        <is>
          <t>Jis tą padaryti pasiūlė šešioms įmonėms, tai – „Gilesta“, „Naresta“, „YIT Lietuva“, „Tilsta“, „Hiltus“ ir „Eika Construction“.
Statybos inspekcijos atstovas R. Gorbačiovas BNS teigė, kad įstaiga šios mero iniciatyvos nekomentuos.
„Inspekcija nevertina viešų pareiškimų ar iniciatyvų.</t>
        </is>
      </c>
      <c r="G6" s="2" t="n">
        <v>32397</v>
      </c>
      <c r="H6" s="2" t="n"/>
      <c r="I6" s="2" t="n"/>
      <c r="J6" s="2" t="n"/>
      <c r="K6" s="2" t="n"/>
      <c r="L6" s="2" t="inlineStr">
        <is>
          <t>Vilnius</t>
        </is>
      </c>
      <c r="M6" s="2" t="inlineStr"/>
      <c r="N6" s="2" t="inlineStr">
        <is>
          <t>Lithuania</t>
        </is>
      </c>
      <c r="O6" s="7" t="n">
        <v>299.67</v>
      </c>
      <c r="P6" s="2" t="n">
        <v>55</v>
      </c>
      <c r="Q6" s="2" t="n"/>
    </row>
    <row r="7">
      <c r="A7" s="2" t="inlineStr">
        <is>
          <t>Paklausa diktuoja taisykles: pusmečiu anksčiau startuoja naujo „Bajorų alėjų“ namo pardavimai</t>
        </is>
      </c>
      <c r="B7" s="2">
        <f>HYPERLINK("https://www.15min.lt/verslas/naujiena/bns-spaudos-centras/paklausa-diktuoja-taisykles-pusmeciu-anksciau-startuoja-naujo-bajoru-aleju-namo-pardavimai-524750")</f>
        <v/>
      </c>
      <c r="C7" s="2" t="inlineStr"/>
      <c r="D7" s="2" t="inlineStr">
        <is>
          <t>15min</t>
        </is>
      </c>
      <c r="E7" s="8" t="n">
        <v>46080.10923611111</v>
      </c>
      <c r="F7" s="2" t="inlineStr">
        <is>
          <t>Sprendimą lėmė pirkėjų aktyvumas
Pasak „EIKA Development“ plėtros departamento direktoriaus Tomo Žiaugros, toks sprendimas priimtas vertinant ne tik konkretaus etapo rezultatus, bet ir ilgalaikę projekto dinamiką.</t>
        </is>
      </c>
      <c r="G7" s="2" t="n">
        <v>1426746</v>
      </c>
      <c r="H7" s="2" t="n">
        <v>0</v>
      </c>
      <c r="I7" s="2" t="n">
        <v>0</v>
      </c>
      <c r="J7" s="2" t="n">
        <v>0</v>
      </c>
      <c r="K7" s="2" t="n"/>
      <c r="L7" s="2" t="inlineStr">
        <is>
          <t>Vilnius</t>
        </is>
      </c>
      <c r="M7" s="2" t="inlineStr">
        <is>
          <t>Vilniaus Apskritis</t>
        </is>
      </c>
      <c r="N7" s="2" t="inlineStr">
        <is>
          <t>Lithuania</t>
        </is>
      </c>
      <c r="O7" s="7" t="n">
        <v>13197.4</v>
      </c>
      <c r="P7" s="2" t="n">
        <v>73</v>
      </c>
      <c r="Q7" s="2" t="n"/>
    </row>
    <row r="8">
      <c r="A8" s="2" t="inlineStr">
        <is>
          <t>Paklausa diktuoja taisykles: pusmečiu anksčiau startuoja naujo „Bajorų alėjų“ namo pardavimai</t>
        </is>
      </c>
      <c r="B8" s="2">
        <f>HYPERLINK("https://sc.bns.lt/view/item/paklausa-diktuoja-taisykles-pusmeciu-anksciau-startuoja-naujo-bajoru-aleju-namo-pardavimai-524750")</f>
        <v/>
      </c>
      <c r="C8" s="2" t="inlineStr"/>
      <c r="D8" s="2" t="inlineStr">
        <is>
          <t>Baltic News Service (Lithuania)</t>
        </is>
      </c>
      <c r="E8" s="8" t="n">
        <v>46080.06851851852</v>
      </c>
      <c r="F8" s="2" t="inlineStr">
        <is>
          <t xml:space="preserve">Reaguodama į spartų būsto pirkėjų apsisprendimą ir aktyvią rinką, nekilnojamojo turto valdymo įmonė „EIKA Development“ skelbia pusmečiu anksčiau pradedanti dar vieno namo pardavimus. </t>
        </is>
      </c>
      <c r="G8" s="2" t="n">
        <v>32397</v>
      </c>
      <c r="H8" s="2" t="n"/>
      <c r="I8" s="2" t="n"/>
      <c r="J8" s="2" t="n"/>
      <c r="K8" s="2" t="n"/>
      <c r="L8" s="2" t="inlineStr">
        <is>
          <t>Vilnius</t>
        </is>
      </c>
      <c r="M8" s="2" t="inlineStr"/>
      <c r="N8" s="2" t="inlineStr">
        <is>
          <t>Lithuania</t>
        </is>
      </c>
      <c r="O8" s="7" t="n">
        <v>299.67</v>
      </c>
      <c r="P8" s="2" t="n">
        <v>55</v>
      </c>
      <c r="Q8" s="2" t="n"/>
    </row>
    <row r="9">
      <c r="A9" s="2" t="inlineStr">
        <is>
          <t>Statybunaujienos.lt - Vertybinė Roberto Dargio architektūra: verslas, šeima ir valstybė – kaip vientisa, inžinerinio tikslumo konstrukcija</t>
        </is>
      </c>
      <c r="B9" s="2">
        <f>HYPERLINK("https://www.statybunaujienos.lt/naujiena/Vertybine-Roberto-Dargio-architektura-verslas-seima-ir-valstybe-kaip-vientisa-inzinerinio-tikslumo-konstrukcija/26127")</f>
        <v/>
      </c>
      <c r="C9" s="2" t="inlineStr"/>
      <c r="D9" s="2" t="inlineStr">
        <is>
          <t>statybunaujienos.lt</t>
        </is>
      </c>
      <c r="E9" s="8" t="n">
        <v>46080.04606481481</v>
      </c>
      <c r="F9" s="2" t="inlineStr">
        <is>
          <t>EIKA nuotr.
Įmonių grupės EIKA valdybos pirmininko nuostata, verslo aristokratija formuojasi tik tada, kai asmeninis alkis transformuojasi į norą tarnauti valstybei.
„Galima turėti milžinišką kapitalą, bet likti neturtingiausiu žmogumi, jei tavo akiratyje – tik asmeninė nauda.</t>
        </is>
      </c>
      <c r="G9" s="2" t="n">
        <v>5370</v>
      </c>
      <c r="H9" s="2" t="n"/>
      <c r="I9" s="2" t="n"/>
      <c r="J9" s="2" t="n"/>
      <c r="K9" s="2" t="n"/>
      <c r="L9" s="2" t="inlineStr"/>
      <c r="M9" s="2" t="inlineStr"/>
      <c r="N9" s="2" t="inlineStr">
        <is>
          <t>Lithuania</t>
        </is>
      </c>
      <c r="O9" s="7" t="n">
        <v>49.67</v>
      </c>
      <c r="P9" s="2" t="n">
        <v>27</v>
      </c>
      <c r="Q9" s="2" t="n"/>
    </row>
    <row r="10">
      <c r="A10" s="2" t="inlineStr">
        <is>
          <t>Paklausa diktuoja taisykles: pusmečiu anksčiau startuoja naujo „Bajorų alėjų“ namo pardavimai</t>
        </is>
      </c>
      <c r="B10" s="2">
        <f>HYPERLINK("https://www.elta.lt/lt/pranesimai-spaudai/paklausa-diktuoja-taisykles-pusmeciu-anksciau-startuoja-naujo-bajoru-aleju-namo-pardavimai-261898")</f>
        <v/>
      </c>
      <c r="C10" s="2" t="inlineStr"/>
      <c r="D10" s="2" t="inlineStr">
        <is>
          <t>elta.lt</t>
        </is>
      </c>
      <c r="E10" s="8" t="n">
        <v>46080</v>
      </c>
      <c r="F10" s="2" t="inlineStr">
        <is>
          <t xml:space="preserve">Reaguodama į spartų būsto pirkėjų apsisprendimą ir aktyvią rinką, nekilnojamojo turto valdymo įmonė „EIKA Development“ skelbia pusmečiu anksčiau pradedanti dar vieno namo pardavimus. </t>
        </is>
      </c>
      <c r="G10" s="2" t="n">
        <v>9121</v>
      </c>
      <c r="H10" s="2" t="n"/>
      <c r="I10" s="2" t="n"/>
      <c r="J10" s="2" t="n"/>
      <c r="K10" s="2" t="n"/>
      <c r="L10" s="2" t="inlineStr"/>
      <c r="M10" s="2" t="inlineStr"/>
      <c r="N10" s="2" t="inlineStr">
        <is>
          <t>Lithuania</t>
        </is>
      </c>
      <c r="O10" s="7" t="n">
        <v>84.37</v>
      </c>
      <c r="P10" s="2" t="n">
        <v>44</v>
      </c>
      <c r="Q10" s="2" t="n"/>
    </row>
    <row r="11">
      <c r="A11" s="2" t="inlineStr">
        <is>
          <t>Lietuvos bankas išsigando - NT kainos gali kristi?</t>
        </is>
      </c>
      <c r="B11" s="2">
        <f>HYPERLINK("https://www.delfi.lt/news/ringas/lit/lietuvos-bankas-issigando-nt-kainos-gali-kristi-120216198")</f>
        <v/>
      </c>
      <c r="C11" s="2" t="inlineStr"/>
      <c r="D11" s="2" t="inlineStr">
        <is>
          <t>DELFI Lithuania</t>
        </is>
      </c>
      <c r="E11" s="8" t="n">
        <v>46079.33958333333</v>
      </c>
      <c r="F11" s="2" t="inlineStr">
        <is>
          <t>Mes laikome, kad tokio objekto plotas yra 50 kvadratinių metrų, bet tai apytikslis dydis. jei imtume loftus, jis būtų mažesnis“, – sako Martynas Žibūda, „EIKA Development“ generalinis direktorius.</t>
        </is>
      </c>
      <c r="G11" s="2" t="n">
        <v>1878795</v>
      </c>
      <c r="H11" s="2" t="n"/>
      <c r="I11" s="2" t="n"/>
      <c r="J11" s="2" t="n"/>
      <c r="K11" s="2" t="n"/>
      <c r="L11" s="2" t="inlineStr">
        <is>
          <t>Vilnius</t>
        </is>
      </c>
      <c r="M11" s="2" t="inlineStr"/>
      <c r="N11" s="2" t="inlineStr">
        <is>
          <t>Lithuania</t>
        </is>
      </c>
      <c r="O11" s="7" t="n">
        <v>9393.98</v>
      </c>
      <c r="P11" s="2" t="n">
        <v>82</v>
      </c>
      <c r="Q11" s="2" t="n"/>
    </row>
    <row r="12">
      <c r="A12" s="2" t="inlineStr">
        <is>
          <t>Statybunaujienos.lt - Strateginis sandoris gynybos rinkoje – „MT Group“ perima „Elsis“ kontrolę</t>
        </is>
      </c>
      <c r="B12" s="2">
        <f>HYPERLINK("https://www.statybunaujienos.lt/naujiena/Strateginis-sandoris-gynybos-rinkoje-MT-Group-perima-Elsis-kontrole/26159")</f>
        <v/>
      </c>
      <c r="C12" s="2" t="inlineStr"/>
      <c r="D12" s="2" t="inlineStr">
        <is>
          <t>statybunaujienos.lt</t>
        </is>
      </c>
      <c r="E12" s="8" t="n">
        <v>46079.33542824074</v>
      </c>
      <c r="F12" s="2" t="inlineStr">
        <is>
          <t>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t>
        </is>
      </c>
      <c r="G12" s="2" t="n">
        <v>5370</v>
      </c>
      <c r="H12" s="2" t="n">
        <v>0</v>
      </c>
      <c r="I12" s="2" t="n">
        <v>0</v>
      </c>
      <c r="J12" s="2" t="n">
        <v>0</v>
      </c>
      <c r="K12" s="2" t="n"/>
      <c r="L12" s="2" t="inlineStr"/>
      <c r="M12" s="2" t="inlineStr"/>
      <c r="N12" s="2" t="inlineStr">
        <is>
          <t>Lithuania</t>
        </is>
      </c>
      <c r="O12" s="7" t="n">
        <v>49.67</v>
      </c>
      <c r="P12" s="2" t="n">
        <v>27</v>
      </c>
      <c r="Q12" s="2" t="n"/>
    </row>
    <row r="13">
      <c r="A13" s="2" t="inlineStr">
        <is>
          <t>Ministras siunčia žinutę dėl Rūdninkų karinio miestelio</t>
        </is>
      </c>
      <c r="B13" s="2">
        <f>HYPERLINK("https://www.delfi.lt/saugu/naujienos/ministras-siuncia-zinute-del-rudninku-karinio-miestelio-120216864")</f>
        <v/>
      </c>
      <c r="C13" s="2" t="inlineStr"/>
      <c r="D13" s="2" t="inlineStr">
        <is>
          <t>DELFI Lithuania</t>
        </is>
      </c>
      <c r="E13" s="8" t="n">
        <v>46079.22184027778</v>
      </c>
      <c r="F13" s="2" t="inlineStr">
        <is>
          <t>Pirmąjį karinio miestelio projektą pradėta vystyti 2024-ųjų rugpjūtį, tam pasirašyta 125 mln. eurų vertės rangos ir projektavimo darbų sutartis su bendrove „Eika Construction“. Šios lėšos skirtos iš Valstybės gynybos fondo.</t>
        </is>
      </c>
      <c r="G13" s="2" t="n">
        <v>1878795</v>
      </c>
      <c r="H13" s="2" t="n"/>
      <c r="I13" s="2" t="n"/>
      <c r="J13" s="2" t="n"/>
      <c r="K13" s="2" t="n"/>
      <c r="L13" s="2" t="inlineStr">
        <is>
          <t>Vilnius</t>
        </is>
      </c>
      <c r="M13" s="2" t="inlineStr"/>
      <c r="N13" s="2" t="inlineStr">
        <is>
          <t>Lithuania</t>
        </is>
      </c>
      <c r="O13" s="7" t="n">
        <v>9393.98</v>
      </c>
      <c r="P13" s="2" t="n">
        <v>82</v>
      </c>
      <c r="Q13" s="2" t="n"/>
    </row>
    <row r="14">
      <c r="A14" s="2" t="inlineStr">
        <is>
          <t>Statybunaujienos.lt - Saugumas dirbant aukštyje: ką privalo žinoti kiekvienas rangovas?</t>
        </is>
      </c>
      <c r="B14" s="2">
        <f>HYPERLINK("https://www.statybunaujienos.lt/naujiena/Saugumas-dirbant-aukstyje-ka-privalo-zinoti-kiekvienas-rangovas/26152")</f>
        <v/>
      </c>
      <c r="C14" s="2" t="inlineStr"/>
      <c r="D14" s="2" t="inlineStr">
        <is>
          <t>statybunaujienos.lt</t>
        </is>
      </c>
      <c r="E14" s="8" t="n">
        <v>46079.08402777778</v>
      </c>
      <c r="F14" s="2" t="inlineStr">
        <is>
          <t>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t>
        </is>
      </c>
      <c r="G14" s="2" t="n">
        <v>5370</v>
      </c>
      <c r="H14" s="2" t="n">
        <v>0</v>
      </c>
      <c r="I14" s="2" t="n">
        <v>0</v>
      </c>
      <c r="J14" s="2" t="n">
        <v>0</v>
      </c>
      <c r="K14" s="2" t="n"/>
      <c r="L14" s="2" t="inlineStr"/>
      <c r="M14" s="2" t="inlineStr"/>
      <c r="N14" s="2" t="inlineStr">
        <is>
          <t>Lithuania</t>
        </is>
      </c>
      <c r="O14" s="7" t="n">
        <v>49.67</v>
      </c>
      <c r="P14" s="2" t="n">
        <v>27</v>
      </c>
      <c r="Q14" s="2" t="n"/>
    </row>
    <row r="15">
      <c r="A15" s="2" t="inlineStr">
        <is>
          <t>Statybunaujienos.lt - Voluojamas betonas (RCC): technologiniai pranašumai ir ekonominis efektyvumas</t>
        </is>
      </c>
      <c r="B15" s="2">
        <f>HYPERLINK("https://www.statybunaujienos.lt/naujiena/Voluojamas-betonas-RCC-technologiniai-pranasumai-ir-ekonominis-efektyvumas/26147")</f>
        <v/>
      </c>
      <c r="C15" s="2" t="inlineStr"/>
      <c r="D15" s="2" t="inlineStr">
        <is>
          <t>statybunaujienos.lt</t>
        </is>
      </c>
      <c r="E15" s="8" t="n">
        <v>46079.02645833333</v>
      </c>
      <c r="F15" s="2" t="inlineStr">
        <is>
          <t>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t>
        </is>
      </c>
      <c r="G15" s="2" t="n">
        <v>5370</v>
      </c>
      <c r="H15" s="2" t="n">
        <v>0</v>
      </c>
      <c r="I15" s="2" t="n">
        <v>0</v>
      </c>
      <c r="J15" s="2" t="n">
        <v>0</v>
      </c>
      <c r="K15" s="2" t="n"/>
      <c r="L15" s="2" t="inlineStr"/>
      <c r="M15" s="2" t="inlineStr"/>
      <c r="N15" s="2" t="inlineStr">
        <is>
          <t>Lithuania</t>
        </is>
      </c>
      <c r="O15" s="7" t="n">
        <v>49.67</v>
      </c>
      <c r="P15" s="2" t="n">
        <v>27</v>
      </c>
      <c r="Q15" s="2" t="n"/>
    </row>
    <row r="16">
      <c r="A16" s="2" t="inlineStr">
        <is>
          <t>EIKA Development: стоимость жилья в микрорайоне Жверинас выросла до 5 400 евро за квадрат</t>
        </is>
      </c>
      <c r="B16" s="2">
        <f>HYPERLINK("https://www.delfi.lt/ru/news/economy/eika-development-stoimost-zhilya-v-mikrorayone-zhverinas-vyrosla-do-5-400-evro-za-kvadrat-120216655")</f>
        <v/>
      </c>
      <c r="C16" s="2" t="inlineStr"/>
      <c r="D16" s="2" t="inlineStr">
        <is>
          <t>DELFI Lithuania</t>
        </is>
      </c>
      <c r="E16" s="8" t="n">
        <v>46078.58611111111</v>
      </c>
      <c r="F16" s="2" t="inlineStr">
        <is>
          <t>По словам директора по развитию компании EIKA Development Томаса Жяугры, это мнение жителей отражается в росте цен на жилье в этом микрорайоне.</t>
        </is>
      </c>
      <c r="G16" s="2" t="n">
        <v>1878795</v>
      </c>
      <c r="H16" s="2" t="n"/>
      <c r="I16" s="2" t="n"/>
      <c r="J16" s="2" t="n"/>
      <c r="K16" s="2" t="n"/>
      <c r="L16" s="2" t="inlineStr">
        <is>
          <t>Vilnius</t>
        </is>
      </c>
      <c r="M16" s="2" t="inlineStr"/>
      <c r="N16" s="2" t="inlineStr">
        <is>
          <t>Lithuania</t>
        </is>
      </c>
      <c r="O16" s="7" t="n">
        <v>9393.98</v>
      </c>
      <c r="P16" s="2" t="n">
        <v>82</v>
      </c>
      <c r="Q16" s="2" t="n"/>
    </row>
    <row r="17">
      <c r="A17" s="2" t="inlineStr">
        <is>
          <t>Viešieji pirkimai - Suomija - Nuotekų ir atliekų šalinimo paslaugos, valymo ir aplinkosaugos paslaugos - Kutsu markkinavuoropuheluun: Helsingin kaupungin yleisten alueiden kunnossapidon alueurakat: Kaarela, Tapaninkylä, Suutarila ja Mellunkylä | LR Valsty</t>
        </is>
      </c>
      <c r="B17" s="2">
        <f>HYPERLINK("https://lrvalstybe.lt/es-nato-pirkimai/4867979")</f>
        <v/>
      </c>
      <c r="C17" s="2" t="inlineStr"/>
      <c r="D17" s="2" t="inlineStr">
        <is>
          <t>lrvalstybe.lt</t>
        </is>
      </c>
      <c r="E17" s="8" t="n">
        <v>46076.89880787037</v>
      </c>
      <c r="F17" s="2" t="inlineStr">
        <is>
          <t>Markkinavuoropuhelu ja siinä annetut tiedot eivät sido ketään siihen osallistuvaa tahoa, eikä myöskään ole edellytyksenä myöhemmin varsinaiseen tarjouskilpailuun osallistumiselle. Virallinen tarjouspyyntö julkaistaan vasta markkinavuoropuhelujen päätyttyä.</t>
        </is>
      </c>
      <c r="G17" s="2" t="n">
        <v>64270</v>
      </c>
      <c r="H17" s="2" t="n">
        <v>0</v>
      </c>
      <c r="I17" s="2" t="n">
        <v>0</v>
      </c>
      <c r="J17" s="2" t="n">
        <v>0</v>
      </c>
      <c r="K17" s="2" t="n"/>
      <c r="L17" s="2" t="inlineStr"/>
      <c r="M17" s="2" t="inlineStr"/>
      <c r="N17" s="2" t="inlineStr">
        <is>
          <t>Lithuania</t>
        </is>
      </c>
      <c r="O17" s="7" t="n">
        <v>594.5</v>
      </c>
      <c r="P17" s="2" t="n">
        <v>35</v>
      </c>
      <c r="Q17" s="2" t="n"/>
    </row>
    <row r="18">
      <c r="A18" s="2" t="inlineStr">
        <is>
          <t>Suomija - Architektūros, statybų, inžinerijos ir inspektavimo paslaugos - Imatran pelastus- ja poliisiaseman tietomallikoordinaattori</t>
        </is>
      </c>
      <c r="B18" s="2">
        <f>HYPERLINK("https://lrvalstybe.lt/es-nato-pirkimai/4867813")</f>
        <v/>
      </c>
      <c r="C18" s="2" t="inlineStr"/>
      <c r="D18" s="2" t="inlineStr">
        <is>
          <t>lrvalstybe.lt</t>
        </is>
      </c>
      <c r="E18" s="8" t="n">
        <v>46076.8934837963</v>
      </c>
      <c r="F18" s="2" t="inlineStr">
        <is>
          <t>Kaavoitus on kesken eikä tonttia ole vielä muodostettu. Kaavoitusta edistetään poikkeusluvalla. Kaavan vahvistumisen ja tontin muodostamisen tavoiteaikataulu on kevät 2026.</t>
        </is>
      </c>
      <c r="G18" s="2" t="n">
        <v>64270</v>
      </c>
      <c r="H18" s="2" t="n">
        <v>0</v>
      </c>
      <c r="I18" s="2" t="n">
        <v>0</v>
      </c>
      <c r="J18" s="2" t="n">
        <v>0</v>
      </c>
      <c r="K18" s="2" t="n"/>
      <c r="L18" s="2" t="inlineStr"/>
      <c r="M18" s="2" t="inlineStr"/>
      <c r="N18" s="2" t="inlineStr">
        <is>
          <t>Lithuania</t>
        </is>
      </c>
      <c r="O18" s="7" t="n">
        <v>594.5</v>
      </c>
      <c r="P18" s="2" t="n">
        <v>35</v>
      </c>
      <c r="Q18" s="2" t="n"/>
    </row>
    <row r="19">
      <c r="A19" s="2" t="inlineStr">
        <is>
          <t>Statybunaujienos.lt - „Migdolų namai“ – naujas konversijos projektas Pašilaičiuose: investicijos sieks 25 mln. eurų</t>
        </is>
      </c>
      <c r="B19" s="2">
        <f>HYPERLINK("https://www.statybunaujienos.lt/naujiena/Migdolu-namai-naujas-konversijos-projektas-Pasilaiciuose-investicijos-sieks-25-mln-euru/26138")</f>
        <v/>
      </c>
      <c r="C19" s="2" t="inlineStr"/>
      <c r="D19" s="2" t="inlineStr">
        <is>
          <t>statybunaujienos.lt</t>
        </is>
      </c>
      <c r="E19" s="8" t="n">
        <v>46076.32131944445</v>
      </c>
      <c r="F19" s="2" t="inlineStr">
        <is>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is>
      </c>
      <c r="G19" s="2" t="n">
        <v>5370</v>
      </c>
      <c r="H19" s="2" t="n">
        <v>0</v>
      </c>
      <c r="I19" s="2" t="n">
        <v>0</v>
      </c>
      <c r="J19" s="2" t="n">
        <v>0</v>
      </c>
      <c r="K19" s="2" t="n"/>
      <c r="L19" s="2" t="inlineStr"/>
      <c r="M19" s="2" t="inlineStr"/>
      <c r="N19" s="2" t="inlineStr">
        <is>
          <t>Lithuania</t>
        </is>
      </c>
      <c r="O19" s="7" t="n">
        <v>49.67</v>
      </c>
      <c r="P19" s="2" t="n">
        <v>27</v>
      </c>
      <c r="Q19" s="2" t="n"/>
    </row>
    <row r="20">
      <c r="A20" s="2" t="inlineStr">
        <is>
          <t>Suomija - Operaciniai stalai - Leikkauspöydät</t>
        </is>
      </c>
      <c r="B20" s="2">
        <f>HYPERLINK("https://lrvalstybe.lt/es-nato-pirkimai/4864092")</f>
        <v/>
      </c>
      <c r="C20" s="2" t="inlineStr"/>
      <c r="D20" s="2" t="inlineStr">
        <is>
          <t>lrvalstybe.lt</t>
        </is>
      </c>
      <c r="E20" s="8" t="n">
        <v>46073.89484953704</v>
      </c>
      <c r="F20" s="2" t="inlineStr">
        <is>
          <t>Määrät ovat arvioita tulevista tarpeista, eikä hankintayksikkö sitoudu ilmoitettuihin hankintamääriin.
Osa-alueeseen 1 valitaan sopimuskumppaniksi kokonaistaloudellisesti edullisin tarjoaja, ja osa-alueisiin 2 ja 3 kaksi kokonaistaloudellisesti edullisinta tarjoajaa.</t>
        </is>
      </c>
      <c r="G20" s="2" t="n">
        <v>64270</v>
      </c>
      <c r="H20" s="2" t="n"/>
      <c r="I20" s="2" t="n"/>
      <c r="J20" s="2" t="n"/>
      <c r="K20" s="2" t="n"/>
      <c r="L20" s="2" t="inlineStr"/>
      <c r="M20" s="2" t="inlineStr"/>
      <c r="N20" s="2" t="inlineStr">
        <is>
          <t>Lithuania</t>
        </is>
      </c>
      <c r="O20" s="7" t="n">
        <v>594.5</v>
      </c>
      <c r="P20" s="2" t="n">
        <v>35</v>
      </c>
      <c r="Q20" s="2" t="n"/>
    </row>
    <row r="21">
      <c r="A21" s="2" t="inlineStr">
        <is>
          <t>Suomija - Nereguliarus keleivinis transportas - Sunan koulun väistökuljetuksia lukuvuonna 2024-2026 koskeva sopimusmuutos</t>
        </is>
      </c>
      <c r="B21" s="2">
        <f>HYPERLINK("https://lrvalstybe.lt/es-nato-pirkimai/4862356")</f>
        <v/>
      </c>
      <c r="C21" s="2" t="inlineStr"/>
      <c r="D21" s="2" t="inlineStr">
        <is>
          <t>lrvalstybe.lt</t>
        </is>
      </c>
      <c r="E21" s="8" t="n">
        <v>46073.8825462963</v>
      </c>
      <c r="F21" s="2" t="inlineStr">
        <is>
          <t>Hankintalain 136 § 2 momentin 3 kohdan mukaan hankintasopimukseen voidaan tehdä muutos ilman uutta hankintamenettelyä, jos muutoksen tarve johtuu olosuhteista, joita huolellinen hankintayksikkö ei ole voinut ennakoida eikä muutos vaikuta hankintasopimuksen yleiseen luonteeseen.</t>
        </is>
      </c>
      <c r="G21" s="2" t="n">
        <v>64270</v>
      </c>
      <c r="H21" s="2" t="n">
        <v>0</v>
      </c>
      <c r="I21" s="2" t="n">
        <v>0</v>
      </c>
      <c r="J21" s="2" t="n">
        <v>0</v>
      </c>
      <c r="K21" s="2" t="n"/>
      <c r="L21" s="2" t="inlineStr"/>
      <c r="M21" s="2" t="inlineStr"/>
      <c r="N21" s="2" t="inlineStr">
        <is>
          <t>Lithuania</t>
        </is>
      </c>
      <c r="O21" s="7" t="n">
        <v>594.5</v>
      </c>
      <c r="P21" s="2" t="n">
        <v>35</v>
      </c>
      <c r="Q21" s="2" t="n"/>
    </row>
    <row r="22">
      <c r="A22" s="2" t="inlineStr">
        <is>
          <t>Suomija - Medicinos įranga - Ekstraktiovälineet (DPS sisäinen kilpailutus, HUS 010-2024)</t>
        </is>
      </c>
      <c r="B22" s="2">
        <f>HYPERLINK("https://lrvalstybe.lt/es-nato-pirkimai/4857689")</f>
        <v/>
      </c>
      <c r="C22" s="2" t="inlineStr"/>
      <c r="D22" s="2" t="inlineStr">
        <is>
          <t>lrvalstybe.lt</t>
        </is>
      </c>
      <c r="E22" s="8" t="n">
        <v>46071.89111111111</v>
      </c>
      <c r="F22" s="2" t="inlineStr">
        <is>
          <t>Kyse on arvioista eikä hankintayksikkö sitoudu ilmoitettuihin euromääriin tai tarjouspyynnössä ilmoitettuihin kulutusmääriin. Lopulliset tilausmäärät voivat olla ilmoitettua suurempia tai pienempiä. 
Tuotteet tilataan HUSin tilausjärjestelmästä.</t>
        </is>
      </c>
      <c r="G22" s="2" t="n">
        <v>64270</v>
      </c>
      <c r="H22" s="2" t="n"/>
      <c r="I22" s="2" t="n"/>
      <c r="J22" s="2" t="n"/>
      <c r="K22" s="2" t="n"/>
      <c r="L22" s="2" t="inlineStr"/>
      <c r="M22" s="2" t="inlineStr"/>
      <c r="N22" s="2" t="inlineStr">
        <is>
          <t>Lithuania</t>
        </is>
      </c>
      <c r="O22" s="7" t="n">
        <v>594.5</v>
      </c>
      <c r="P22" s="2" t="n">
        <v>35</v>
      </c>
      <c r="Q22" s="2" t="n"/>
    </row>
    <row r="23">
      <c r="A23" s="2" t="inlineStr">
        <is>
          <t>Suomija - Nutekamojo vandens priimtuvų valymo ir ištuštinimo paslaugos - Hulevesijärjestelmien kunnossapitopalveluiden hankinta</t>
        </is>
      </c>
      <c r="B23" s="2">
        <f>HYPERLINK("https://lrvalstybe.lt/es-nato-pirkimai/4855982")</f>
        <v/>
      </c>
      <c r="C23" s="2" t="inlineStr"/>
      <c r="D23" s="2" t="inlineStr">
        <is>
          <t>lrvalstybe.lt</t>
        </is>
      </c>
      <c r="E23" s="8" t="n">
        <v>46071.88222222222</v>
      </c>
      <c r="F23" s="2" t="inlineStr">
        <is>
          <t>Puhdistus suoritetaan tällöin viiden (5) työpäivän kuluessa tilauksesta normaalina työaikana arkena, eikä se ole hälytysluontoinen työ.</t>
        </is>
      </c>
      <c r="G23" s="2" t="n">
        <v>64270</v>
      </c>
      <c r="H23" s="2" t="n"/>
      <c r="I23" s="2" t="n"/>
      <c r="J23" s="2" t="n"/>
      <c r="K23" s="2" t="n"/>
      <c r="L23" s="2" t="inlineStr"/>
      <c r="M23" s="2" t="inlineStr"/>
      <c r="N23" s="2" t="inlineStr">
        <is>
          <t>Lithuania</t>
        </is>
      </c>
      <c r="O23" s="7" t="n">
        <v>594.5</v>
      </c>
      <c r="P23" s="2" t="n">
        <v>35</v>
      </c>
      <c r="Q23" s="2" t="n"/>
    </row>
    <row r="24">
      <c r="A24" s="2" t="inlineStr">
        <is>
          <t>Geležinkelį iki Rūdninkų poligono už 30 mln. eurų ties „Kauno tiltai“ kartu su LTG įmone</t>
        </is>
      </c>
      <c r="B24" s="2">
        <f>HYPERLINK("https://www.lrt.lt/naujienos/eismas/7/2843282/gelezinkeli-iki-rudninku-poligono-uz-30-mln-euru-ties-kauno-tiltai-kartu-su-ltg-imone")</f>
        <v/>
      </c>
      <c r="C24" s="2" t="inlineStr"/>
      <c r="D24" s="2" t="inlineStr">
        <is>
          <t>Lithuanian National Radio and Television (LRT)</t>
        </is>
      </c>
      <c r="E24" s="8" t="n">
        <v>46071.38001157407</v>
      </c>
      <c r="F24" s="2" t="inlineStr">
        <is>
          <t>Miestelis vystomas etapais, pirmąjį 125 mln. eurų vertės etapą šiemet baigs įgyvendinti statybų bendrovė „Eika Construction“.</t>
        </is>
      </c>
      <c r="G24" s="2" t="n">
        <v>1529307</v>
      </c>
      <c r="H24" s="2" t="n"/>
      <c r="I24" s="2" t="n"/>
      <c r="J24" s="2" t="n"/>
      <c r="K24" s="2" t="n"/>
      <c r="L24" s="2" t="inlineStr">
        <is>
          <t>Vilnius</t>
        </is>
      </c>
      <c r="M24" s="2" t="inlineStr">
        <is>
          <t>Vilniaus Apskritis</t>
        </is>
      </c>
      <c r="N24" s="2" t="inlineStr">
        <is>
          <t>Lithuania</t>
        </is>
      </c>
      <c r="O24" s="7" t="n">
        <v>14146.09</v>
      </c>
      <c r="P24" s="2" t="n">
        <v>68</v>
      </c>
      <c r="Q24" s="2" t="n"/>
    </row>
    <row r="25">
      <c r="A25" s="2" t="inlineStr">
        <is>
          <t>„Kauno tiltai“ kartu su LTG įmone ties geležinkelį iki Rūdninkų karinio miestelio</t>
        </is>
      </c>
      <c r="B25" s="2">
        <f>HYPERLINK("https://www.vz.lt/statyba-ir-nt/2026/02/18/kauno-tiltai-kartu-su-ltg-imone-ties-gelezinkeli-iki-rudninku-karinio-miestelio-580836")</f>
        <v/>
      </c>
      <c r="C25" s="2" t="inlineStr"/>
      <c r="D25" s="2" t="inlineStr">
        <is>
          <t>Verslo Žinios</t>
        </is>
      </c>
      <c r="E25" s="8" t="n">
        <v>46071.36894675926</v>
      </c>
      <c r="F25" s="2" t="inlineStr">
        <is>
          <t>TAIP PAT SKAITYKITE: Kita Vokietijos brigadai reikalingos infrastruktūros pusė
Pirmasis etapas apima beveik 56.000 kv. m ploto teritoriją, jo rangovė – „Eika Construction“. Įmonės ir KAM sutarties vertė – 125 mln. Eur.</t>
        </is>
      </c>
      <c r="G25" s="2" t="n">
        <v>1213714</v>
      </c>
      <c r="H25" s="2" t="n"/>
      <c r="I25" s="2" t="n"/>
      <c r="J25" s="2" t="n"/>
      <c r="K25" s="2" t="n"/>
      <c r="L25" s="2" t="inlineStr">
        <is>
          <t>Vilnius</t>
        </is>
      </c>
      <c r="M25" s="2" t="inlineStr"/>
      <c r="N25" s="2" t="inlineStr">
        <is>
          <t>Lithuania</t>
        </is>
      </c>
      <c r="O25" s="7" t="n">
        <v>11226.85</v>
      </c>
      <c r="P25" s="2" t="n">
        <v>58</v>
      </c>
      <c r="Q25" s="2" t="n"/>
    </row>
    <row r="26">
      <c r="A26" s="2" t="inlineStr">
        <is>
          <t>Geležinkelį iki Rūdninkų poligono ties „Kauno tiltai“ kartu su LTG įmone: štai kiek kainuos</t>
        </is>
      </c>
      <c r="B26" s="2">
        <f>HYPERLINK("https://www.tv3.lt/naujiena/verslas/gelezinkeli-iki-rudninku-poligono-ties-kauno-tiltai-kartu-su-ltg-imone-stai-kiek-kainuos-n1495935")</f>
        <v/>
      </c>
      <c r="C26" s="2" t="inlineStr">
        <is>
          <t>Ugnė Paulauskaitė</t>
        </is>
      </c>
      <c r="D26" s="2" t="inlineStr">
        <is>
          <t>TV3 Lithuania</t>
        </is>
      </c>
      <c r="E26" s="8" t="n">
        <v>46071.31951388889</v>
      </c>
      <c r="F26" s="2" t="inlineStr">
        <is>
          <t>Miestelis vystomas etapais, pirmąjį 125 mln. eurų vertės etapą šiemet baigs įgyvendinti statybų bendrovė „Eika Construction“.</t>
        </is>
      </c>
      <c r="G26" s="2" t="n">
        <v>1240858</v>
      </c>
      <c r="H26" s="2" t="n"/>
      <c r="I26" s="2" t="n"/>
      <c r="J26" s="2" t="n"/>
      <c r="K26" s="2" t="n"/>
      <c r="L26" s="2" t="inlineStr">
        <is>
          <t>Vilnius</t>
        </is>
      </c>
      <c r="M26" s="2" t="inlineStr"/>
      <c r="N26" s="2" t="inlineStr">
        <is>
          <t>Lithuania</t>
        </is>
      </c>
      <c r="O26" s="7" t="n">
        <v>11477.94</v>
      </c>
      <c r="P26" s="2" t="n">
        <v>60</v>
      </c>
      <c r="Q26" s="2" t="n"/>
    </row>
    <row r="27">
      <c r="A27" s="2" t="inlineStr">
        <is>
          <t>Strateginėje sostinės vietoje įsikūrusį verslo centrą „Live Square“ papildys naujas nuomininkas</t>
        </is>
      </c>
      <c r="B27" s="2">
        <f>HYPERLINK("https://www.15min.lt/verslas/naujiena/bns-spaudos-centras/strategineje-sostines-vietoje-isikurusi-verslo-centra-live-square-papildys-naujas-nuomininkas-524109")</f>
        <v/>
      </c>
      <c r="C27" s="2" t="inlineStr"/>
      <c r="D27" s="2" t="inlineStr">
        <is>
          <t>15min</t>
        </is>
      </c>
      <c r="E27" s="8" t="n">
        <v>46071.08054398148</v>
      </c>
      <c r="F27" s="2" t="inlineStr">
        <is>
          <t>Džiaugiamės, kad prekybinę galeriją papildys Lietuvoje puikiai žinomas prekės ženklas, sustiprinsiantis kasdienių paslaugų ir patogaus apsipirkimo pasiūlą verslo centro bendruomenei ir miesto gyventojams“, – sako Giedrius Brūzgė, „EIKA Development“ turto valdymo departamento direktorius.</t>
        </is>
      </c>
      <c r="G27" s="2" t="n">
        <v>1426746</v>
      </c>
      <c r="H27" s="2" t="n">
        <v>0</v>
      </c>
      <c r="I27" s="2" t="n">
        <v>0</v>
      </c>
      <c r="J27" s="2" t="n">
        <v>0</v>
      </c>
      <c r="K27" s="2" t="n"/>
      <c r="L27" s="2" t="inlineStr">
        <is>
          <t>Vilnius</t>
        </is>
      </c>
      <c r="M27" s="2" t="inlineStr">
        <is>
          <t>Vilniaus Apskritis</t>
        </is>
      </c>
      <c r="N27" s="2" t="inlineStr">
        <is>
          <t>Lithuania</t>
        </is>
      </c>
      <c r="O27" s="7" t="n">
        <v>13197.4</v>
      </c>
      <c r="P27" s="2" t="n">
        <v>73</v>
      </c>
      <c r="Q27" s="2" t="n"/>
    </row>
    <row r="28">
      <c r="A28" s="2" t="inlineStr">
        <is>
          <t>Strateginėje sostinės vietoje įsikūrusį verslo centrą „Live Square“ papildys naujas nuomininkas</t>
        </is>
      </c>
      <c r="B28" s="2">
        <f>HYPERLINK("https://sc.bns.lt/view/item/strategineje-sostines-vietoje-isikurusi-verslo-centra-live-square-papildys-naujas-nuomininkas-524109")</f>
        <v/>
      </c>
      <c r="C28" s="2" t="inlineStr"/>
      <c r="D28" s="2" t="inlineStr">
        <is>
          <t>Baltic News Service (Lithuania)</t>
        </is>
      </c>
      <c r="E28" s="8" t="n">
        <v>46071.06026620371</v>
      </c>
      <c r="F28" s="2" t="inlineStr">
        <is>
          <t xml:space="preserve">„EIKA Development“ valdomo sostinės verslo centro „Live Square“ prekybinę galeriją papildys naujas nuomininkas – kovo mėnesį duris atverti čia planuoja firminė saldainių fabriko „Rūta“ parduotuvė. </t>
        </is>
      </c>
      <c r="G28" s="2" t="n">
        <v>32397</v>
      </c>
      <c r="H28" s="2" t="n">
        <v>0</v>
      </c>
      <c r="I28" s="2" t="n">
        <v>0</v>
      </c>
      <c r="J28" s="2" t="n">
        <v>0</v>
      </c>
      <c r="K28" s="2" t="n"/>
      <c r="L28" s="2" t="inlineStr">
        <is>
          <t>Vilnius</t>
        </is>
      </c>
      <c r="M28" s="2" t="inlineStr"/>
      <c r="N28" s="2" t="inlineStr">
        <is>
          <t>Lithuania</t>
        </is>
      </c>
      <c r="O28" s="7" t="n">
        <v>299.67</v>
      </c>
      <c r="P28" s="2" t="n">
        <v>55</v>
      </c>
      <c r="Q28" s="2" t="n"/>
    </row>
    <row r="29">
      <c r="A29" s="2" t="inlineStr">
        <is>
          <t>Statybunaujienos.lt - Gelžbetonio armavimo evoliucija: polipropileno fibra kaip sprendimas nuo rūsio sienų iki radioaktyvių atliekų saugyklų</t>
        </is>
      </c>
      <c r="B29" s="2">
        <f>HYPERLINK("https://www.statybunaujienos.lt/naujiena/Gelzbetonio-armavimo-evoliucija-polipropileno-fibra-kaip-sprendimas-nuo-rusio-sienu-iki-radioaktyviu-atlieku-saugyklu/26083")</f>
        <v/>
      </c>
      <c r="C29" s="2" t="inlineStr"/>
      <c r="D29" s="2" t="inlineStr">
        <is>
          <t>statybunaujienos.lt</t>
        </is>
      </c>
      <c r="E29" s="8" t="n">
        <v>46071.0506712963</v>
      </c>
      <c r="F29" s="2" t="inlineStr">
        <is>
          <t>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t>
        </is>
      </c>
      <c r="G29" s="2" t="n">
        <v>5370</v>
      </c>
      <c r="H29" s="2" t="n">
        <v>0</v>
      </c>
      <c r="I29" s="2" t="n">
        <v>0</v>
      </c>
      <c r="J29" s="2" t="n">
        <v>0</v>
      </c>
      <c r="K29" s="2" t="n"/>
      <c r="L29" s="2" t="inlineStr"/>
      <c r="M29" s="2" t="inlineStr"/>
      <c r="N29" s="2" t="inlineStr">
        <is>
          <t>Lithuania</t>
        </is>
      </c>
      <c r="O29" s="7" t="n">
        <v>49.67</v>
      </c>
      <c r="P29" s="2" t="n">
        <v>27</v>
      </c>
      <c r="Q29" s="2" t="n"/>
    </row>
    <row r="30">
      <c r="A30" s="2" t="inlineStr">
        <is>
          <t>Strateginėje sostinės vietoje įsikūrusį verslo centrą „Live Square“ papildys naujas nuomininkas</t>
        </is>
      </c>
      <c r="B30" s="2">
        <f>HYPERLINK("https://www.elta.lt/lt/pranesimai-spaudai/strategineje-sostines-vietoje-isikurusi-verslo-centra-live-square-papildys-naujas-nuomininkas-261640")</f>
        <v/>
      </c>
      <c r="C30" s="2" t="inlineStr"/>
      <c r="D30" s="2" t="inlineStr">
        <is>
          <t>elta.lt</t>
        </is>
      </c>
      <c r="E30" s="8" t="n">
        <v>46071</v>
      </c>
      <c r="F30" s="2" t="inlineStr">
        <is>
          <t xml:space="preserve">„EIKA Development“ valdomo sostinės verslo centro „Live Square“ prekybinę galeriją papildys naujas nuomininkas – kovo mėnesį duris atverti čia planuoja firminė saldainių fabriko „Rūta“ parduotuvė. </t>
        </is>
      </c>
      <c r="G30" s="2" t="n">
        <v>9121</v>
      </c>
      <c r="H30" s="2" t="n"/>
      <c r="I30" s="2" t="n"/>
      <c r="J30" s="2" t="n"/>
      <c r="K30" s="2" t="n"/>
      <c r="L30" s="2" t="inlineStr"/>
      <c r="M30" s="2" t="inlineStr"/>
      <c r="N30" s="2" t="inlineStr">
        <is>
          <t>Lithuania</t>
        </is>
      </c>
      <c r="O30" s="7" t="n">
        <v>84.37</v>
      </c>
      <c r="P30" s="2" t="n">
        <v>44</v>
      </c>
      <c r="Q30" s="2" t="n"/>
    </row>
    <row r="31">
      <c r="A31" s="2" t="inlineStr">
        <is>
          <t>Viešieji pirkimai - Suomija - Sveikatos priežiūros ir socialinio darbo paslaugos - Lasten, nuorten ja aikuisten psykoterapiapalvelut sekä aikuisten seksuaaliterapeuttiset lyhytinterventiot | LR Valstybė</t>
        </is>
      </c>
      <c r="B31" s="2">
        <f>HYPERLINK("https://lrvalstybe.lt/es-nato-pirkimai/4854548")</f>
        <v/>
      </c>
      <c r="C31" s="2" t="inlineStr"/>
      <c r="D31" s="2" t="inlineStr">
        <is>
          <t>lrvalstybe.lt</t>
        </is>
      </c>
      <c r="E31" s="8" t="n">
        <v>46070.89149305555</v>
      </c>
      <c r="F31" s="2" t="inlineStr">
        <is>
          <t>Hankintasopimuksen perusteella tehtävien tilausten määrät vaihtelevat tilaajan tarpeen mukaan, eikä hankintasopimus sisällä määrä- tai vähimmäisostovelvoitetta. 
Hankinnan kohde ja vähimmäisvaatimukset on kuvattu tarjouspyynnössä ja tarjouspyynnön liitteissä.</t>
        </is>
      </c>
      <c r="G31" s="2" t="n">
        <v>64270</v>
      </c>
      <c r="H31" s="2" t="n"/>
      <c r="I31" s="2" t="n"/>
      <c r="J31" s="2" t="n"/>
      <c r="K31" s="2" t="n"/>
      <c r="L31" s="2" t="inlineStr"/>
      <c r="M31" s="2" t="inlineStr"/>
      <c r="N31" s="2" t="inlineStr">
        <is>
          <t>Lithuania</t>
        </is>
      </c>
      <c r="O31" s="7" t="n">
        <v>594.5</v>
      </c>
      <c r="P31" s="2" t="n">
        <v>35</v>
      </c>
      <c r="Q31" s="2" t="n"/>
    </row>
    <row r="32">
      <c r="A32" s="2" t="inlineStr">
        <is>
          <t>„EIKA Development“: būsto vertė sostinės Žvėryno mikrorajone per metus išaugo 35,4 proc.</t>
        </is>
      </c>
      <c r="B32" s="2">
        <f>HYPERLINK("https://www.delfi.lt/projektai/elta/eika-development-busto-verte-sostines-zveryno-mikrorajone-per-metus-isaugo-35-4-proc-120212907")</f>
        <v/>
      </c>
      <c r="C32" s="2" t="inlineStr"/>
      <c r="D32" s="2" t="inlineStr">
        <is>
          <t>DELFI Lithuania</t>
        </is>
      </c>
      <c r="E32" s="8" t="n">
        <v>46070.3784837963</v>
      </c>
      <c r="F32" s="2" t="inlineStr">
        <is>
          <t>„EIKA Development“ plėtros direktoriaus Tomo Žiaugros teigimu, tokia gyventojų nuomonė atsispindi augančiose šiame mikrorajone esančių būstų kainose.</t>
        </is>
      </c>
      <c r="G32" s="2" t="n">
        <v>1878795</v>
      </c>
      <c r="H32" s="2" t="n"/>
      <c r="I32" s="2" t="n"/>
      <c r="J32" s="2" t="n"/>
      <c r="K32" s="2" t="n"/>
      <c r="L32" s="2" t="inlineStr">
        <is>
          <t>Vilnius</t>
        </is>
      </c>
      <c r="M32" s="2" t="inlineStr"/>
      <c r="N32" s="2" t="inlineStr">
        <is>
          <t>Lithuania</t>
        </is>
      </c>
      <c r="O32" s="7" t="n">
        <v>9393.98</v>
      </c>
      <c r="P32" s="2" t="n">
        <v>82</v>
      </c>
      <c r="Q32" s="2" t="n"/>
    </row>
    <row r="33">
      <c r="A33" s="2" t="inlineStr">
        <is>
          <t>1 Vilniaus mikrorajone butų kainos per metus šoktelėjo 35,4 procento</t>
        </is>
      </c>
      <c r="B33" s="2">
        <f>HYPERLINK("https://www.tv3.lt/naujiena/verslas/1-vilniaus-mikrorajone-butu-kainos-per-metus-soktelejo-35-4-procento-n1495409")</f>
        <v/>
      </c>
      <c r="C33" s="2" t="inlineStr"/>
      <c r="D33" s="2" t="inlineStr">
        <is>
          <t>TV3 Lithuania</t>
        </is>
      </c>
      <c r="E33" s="8" t="n">
        <v>46070.19754629629</v>
      </c>
      <c r="F33" s="2" t="inlineStr">
        <is>
          <t>„EIKA Development“ plėtros direktoriaus Tomo Žiaugros teigimu, tokia gyventojų nuomonė atsispindi augančiose šiame mikrorajone esančių būstų kainose.</t>
        </is>
      </c>
      <c r="G33" s="2" t="n">
        <v>1240858</v>
      </c>
      <c r="H33" s="2" t="n"/>
      <c r="I33" s="2" t="n"/>
      <c r="J33" s="2" t="n"/>
      <c r="K33" s="2" t="n"/>
      <c r="L33" s="2" t="inlineStr">
        <is>
          <t>Vilnius</t>
        </is>
      </c>
      <c r="M33" s="2" t="inlineStr"/>
      <c r="N33" s="2" t="inlineStr">
        <is>
          <t>Lithuania</t>
        </is>
      </c>
      <c r="O33" s="7" t="n">
        <v>11477.94</v>
      </c>
      <c r="P33" s="2" t="n">
        <v>60</v>
      </c>
      <c r="Q33" s="2" t="n"/>
    </row>
    <row r="34">
      <c r="A34" s="2" t="inlineStr">
        <is>
          <t>Apeliacinis teismas: tarnyba tinkamai įvertino „Amberolos“ pasiūlymą Šiaulių kalėjimo konkurse</t>
        </is>
      </c>
      <c r="B34" s="2">
        <f>HYPERLINK("https://www.15min.lt/verslas/naujiena/finansai/apeliacinis-teismas-tarnyba-tinkamai-ivertino-amberolos-pasiulyma-siauliu-kalejimo-konkurse-662-2622942")</f>
        <v/>
      </c>
      <c r="C34" s="2" t="inlineStr">
        <is>
          <t>Algimantė Ambrulaitytė, Darnu Group</t>
        </is>
      </c>
      <c r="D34" s="2" t="inlineStr">
        <is>
          <t>15min</t>
        </is>
      </c>
      <c r="E34" s="8" t="n">
        <v>46070.02833333334</v>
      </c>
      <c r="F34" s="2" t="inlineStr">
        <is>
          <t xml:space="preserve">Tuo metu dar viena byla, susijusi su Šiaulių kalėjimo konkursu, pagal NT plėtros grupės „Eika Group“ antrinės bendrovės „Būsto projektai SPV“ ieškinį nagrinėjama Klaipėdos apygardos teisme. Ji konkurse liko trečia. </t>
        </is>
      </c>
      <c r="G34" s="2" t="n">
        <v>1426746</v>
      </c>
      <c r="H34" s="2" t="n"/>
      <c r="I34" s="2" t="n"/>
      <c r="J34" s="2" t="n"/>
      <c r="K34" s="2" t="n"/>
      <c r="L34" s="2" t="inlineStr">
        <is>
          <t>Vilnius</t>
        </is>
      </c>
      <c r="M34" s="2" t="inlineStr">
        <is>
          <t>Vilniaus Apskritis</t>
        </is>
      </c>
      <c r="N34" s="2" t="inlineStr">
        <is>
          <t>Lithuania</t>
        </is>
      </c>
      <c r="O34" s="7" t="n">
        <v>13197.4</v>
      </c>
      <c r="P34" s="2" t="n">
        <v>73</v>
      </c>
      <c r="Q34" s="2" t="n"/>
    </row>
    <row r="35">
      <c r="A35" s="2" t="inlineStr">
        <is>
          <t>Suomija - Geležinkelio bėgių priežiūros paslaugos - JÄLKI-ILMOITUS: Raitiotieradan kitkansäätelyaineen levitys</t>
        </is>
      </c>
      <c r="B35" s="2">
        <f>HYPERLINK("https://lrvalstybe.lt/es-nato-pirkimai/4850792")</f>
        <v/>
      </c>
      <c r="C35" s="2" t="inlineStr"/>
      <c r="D35" s="2" t="inlineStr">
        <is>
          <t>lrvalstybe.lt</t>
        </is>
      </c>
      <c r="E35" s="8" t="n">
        <v>46069.89077546296</v>
      </c>
      <c r="F35" s="2" t="inlineStr">
        <is>
          <t>Puitejärjestely ei sisällä määrä- tai vähimmäisostovelvoitetta eikä se tuota toimittajalle yksinoikeutta hankinnan kohteena olevan palvelun tuottamiseen tilaajalle. Tilaaja hankkii palvelua tarpeen mukaan erillisten tilausten perusteella.
Varsinainen sopimuskausi on 12 kk.</t>
        </is>
      </c>
      <c r="G35" s="2" t="n">
        <v>64270</v>
      </c>
      <c r="H35" s="2" t="n">
        <v>0</v>
      </c>
      <c r="I35" s="2" t="n">
        <v>0</v>
      </c>
      <c r="J35" s="2" t="n">
        <v>0</v>
      </c>
      <c r="K35" s="2" t="n"/>
      <c r="L35" s="2" t="inlineStr"/>
      <c r="M35" s="2" t="inlineStr"/>
      <c r="N35" s="2" t="inlineStr">
        <is>
          <t>Lithuania</t>
        </is>
      </c>
      <c r="O35" s="7" t="n">
        <v>594.5</v>
      </c>
      <c r="P35" s="2" t="n">
        <v>35</v>
      </c>
      <c r="Q35" s="2" t="n"/>
    </row>
    <row r="36">
      <c r="A36" s="2" t="inlineStr">
        <is>
          <t>Suomija - Programinės įrangos paketai ir informacinės sistemos - Velora 365</t>
        </is>
      </c>
      <c r="B36" s="2">
        <f>HYPERLINK("https://lrvalstybe.lt/es-nato-pirkimai/4847947")</f>
        <v/>
      </c>
      <c r="C36" s="2" t="inlineStr"/>
      <c r="D36" s="2" t="inlineStr">
        <is>
          <t>lrvalstybe.lt</t>
        </is>
      </c>
      <c r="E36" s="8" t="n">
        <v>46066.8927662037</v>
      </c>
      <c r="F36" s="2" t="inlineStr">
        <is>
          <t>Velora 365
Nuorodos numeris: 2026-002
II.1.2) Pagrindinis BVPŽ kodas:
 48000000
 Programinės įrangos paketai ir informacinės sistemos
II.1.3) Sutarties tipas:
Kita
II.1.4) Trumpas aprašymas:
Tämä ilmoitus ei ole hankintailmoitus eikä</t>
        </is>
      </c>
      <c r="G36" s="2" t="n">
        <v>64270</v>
      </c>
      <c r="H36" s="2" t="n"/>
      <c r="I36" s="2" t="n"/>
      <c r="J36" s="2" t="n"/>
      <c r="K36" s="2" t="n"/>
      <c r="L36" s="2" t="inlineStr"/>
      <c r="M36" s="2" t="inlineStr"/>
      <c r="N36" s="2" t="inlineStr">
        <is>
          <t>Lithuania</t>
        </is>
      </c>
      <c r="O36" s="7" t="n">
        <v>594.5</v>
      </c>
      <c r="P36" s="2" t="n">
        <v>35</v>
      </c>
      <c r="Q36" s="2" t="n"/>
    </row>
    <row r="37">
      <c r="A37" s="2" t="inlineStr">
        <is>
          <t>Suomija - Medicinos įranga, farmacijos ir asmens higienos produktai - Hemodialyysineulat</t>
        </is>
      </c>
      <c r="B37" s="2">
        <f>HYPERLINK("https://lrvalstybe.lt/es-nato-pirkimai/4838810")</f>
        <v/>
      </c>
      <c r="C37" s="2" t="inlineStr"/>
      <c r="D37" s="2" t="inlineStr">
        <is>
          <t>lrvalstybe.lt</t>
        </is>
      </c>
      <c r="E37" s="8" t="n">
        <v>46064.8812962963</v>
      </c>
      <c r="F37" s="2" t="inlineStr">
        <is>
          <t>Kyse on arviosta, eikä hankintayksikkö sitoudu ilmoitettuihin euromääriin ja tarjouspyynnössä ilmoitettuihin, toteutuneeseen kulutusmääriin. Lopulliset tilausmäärät voivat olla ilmoitettua suurempia tai pienempiä.</t>
        </is>
      </c>
      <c r="G37" s="2" t="n">
        <v>64270</v>
      </c>
      <c r="H37" s="2" t="n">
        <v>0</v>
      </c>
      <c r="I37" s="2" t="n">
        <v>0</v>
      </c>
      <c r="J37" s="2" t="n">
        <v>0</v>
      </c>
      <c r="K37" s="2" t="n"/>
      <c r="L37" s="2" t="inlineStr"/>
      <c r="M37" s="2" t="inlineStr"/>
      <c r="N37" s="2" t="inlineStr">
        <is>
          <t>Lithuania</t>
        </is>
      </c>
      <c r="O37" s="7" t="n">
        <v>594.5</v>
      </c>
      <c r="P37" s="2" t="n">
        <v>35</v>
      </c>
      <c r="Q37" s="2" t="n"/>
    </row>
    <row r="38">
      <c r="A38" s="2" t="inlineStr">
        <is>
          <t>Statybunaujienos.lt - MERKO Lietuvoje rezultatai: pasirengimas Rūdninkų karinio miestelio statybos konkursui ir sparčiai augę būsto pardavimai</t>
        </is>
      </c>
      <c r="B38" s="2">
        <f>HYPERLINK("https://www.statybunaujienos.lt/naujiena/MERKO-Lietuvoje-rezultatai-pasirengimas-Rudninku-karinio-miestelio-statybos-konkursui-ir-sparciai-auge-busto-pardavimai/26088")</f>
        <v/>
      </c>
      <c r="C38" s="2" t="inlineStr"/>
      <c r="D38" s="2" t="inlineStr">
        <is>
          <t>statybunaujienos.lt</t>
        </is>
      </c>
      <c r="E38" s="8" t="n">
        <v>46064.17425925926</v>
      </c>
      <c r="F38" s="2" t="inlineStr">
        <is>
          <t>Naująją aikštelę, statomą greta atnaujinto Kauno oro uosto terminalo, planuojama atidaryti šių...
2026-02-09 09:08
Nekilnojamojo turto projektų valdymo bendrovė „EIKA Development“ pasirašė statybų valdymo sutartį su „Eglės sanatorija“, pagal kurią bus įgyvendinta viena didžiausių rekonstrukcijų sanatorinio</t>
        </is>
      </c>
      <c r="G38" s="2" t="n">
        <v>5370</v>
      </c>
      <c r="H38" s="2" t="n">
        <v>0</v>
      </c>
      <c r="I38" s="2" t="n">
        <v>0</v>
      </c>
      <c r="J38" s="2" t="n">
        <v>0</v>
      </c>
      <c r="K38" s="2" t="n"/>
      <c r="L38" s="2" t="inlineStr"/>
      <c r="M38" s="2" t="inlineStr"/>
      <c r="N38" s="2" t="inlineStr">
        <is>
          <t>Lithuania</t>
        </is>
      </c>
      <c r="O38" s="7" t="n">
        <v>49.67</v>
      </c>
      <c r="P38" s="2" t="n">
        <v>27</v>
      </c>
      <c r="Q38" s="2" t="n"/>
    </row>
    <row r="39">
      <c r="A39" s="2" t="inlineStr">
        <is>
          <t>Statybunaujienos.lt - Mažo mastelio architektūra dideliame kontekste: „Bellini“ Žygimantų gatvėje</t>
        </is>
      </c>
      <c r="B39" s="2">
        <f>HYPERLINK("https://www.statybunaujienos.lt/naujiena/Mazo-mastelio-architektura-dideliame-kontekste-Bellini-Zygimantu-gatveje/26086")</f>
        <v/>
      </c>
      <c r="C39" s="2" t="inlineStr"/>
      <c r="D39" s="2" t="inlineStr">
        <is>
          <t>statybunaujienos.lt</t>
        </is>
      </c>
      <c r="E39" s="8" t="n">
        <v>46064.16005787037</v>
      </c>
      <c r="F39" s="2" t="inlineStr">
        <is>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is>
      </c>
      <c r="G39" s="2" t="n">
        <v>5370</v>
      </c>
      <c r="H39" s="2" t="n">
        <v>0</v>
      </c>
      <c r="I39" s="2" t="n">
        <v>0</v>
      </c>
      <c r="J39" s="2" t="n">
        <v>0</v>
      </c>
      <c r="K39" s="2" t="n"/>
      <c r="L39" s="2" t="inlineStr"/>
      <c r="M39" s="2" t="inlineStr"/>
      <c r="N39" s="2" t="inlineStr">
        <is>
          <t>Lithuania</t>
        </is>
      </c>
      <c r="O39" s="7" t="n">
        <v>49.67</v>
      </c>
      <c r="P39" s="2" t="n">
        <v>27</v>
      </c>
      <c r="Q39" s="2" t="n"/>
    </row>
    <row r="40">
      <c r="A40" s="2" t="inlineStr">
        <is>
          <t>Statybunaujienos.lt - Ispanija kovoja su NT okupa mafija: naujasis įstatymas veikia greičiau nei policija</t>
        </is>
      </c>
      <c r="B40" s="2">
        <f>HYPERLINK("https://www.statybunaujienos.lt/naujiena/Ispanija-kovoja-su-NT-okupa-mafija-naujasis-istatymas-veikia-greiciau-nei-policija/26080")</f>
        <v/>
      </c>
      <c r="C40" s="2" t="inlineStr"/>
      <c r="D40" s="2" t="inlineStr">
        <is>
          <t>statybunaujienos.lt</t>
        </is>
      </c>
      <c r="E40" s="8" t="n">
        <v>46063.14167824074</v>
      </c>
      <c r="F40" s="2" t="inlineStr">
        <is>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is>
      </c>
      <c r="G40" s="2" t="n">
        <v>5370</v>
      </c>
      <c r="H40" s="2" t="n">
        <v>0</v>
      </c>
      <c r="I40" s="2" t="n">
        <v>0</v>
      </c>
      <c r="J40" s="2" t="n">
        <v>0</v>
      </c>
      <c r="K40" s="2" t="n"/>
      <c r="L40" s="2" t="inlineStr"/>
      <c r="M40" s="2" t="inlineStr"/>
      <c r="N40" s="2" t="inlineStr">
        <is>
          <t>Lithuania</t>
        </is>
      </c>
      <c r="O40" s="7" t="n">
        <v>49.67</v>
      </c>
      <c r="P40" s="2" t="n">
        <v>27</v>
      </c>
      <c r="Q40" s="2" t="n"/>
    </row>
    <row r="41">
      <c r="A41" s="2" t="inlineStr">
        <is>
          <t>Statybunaujienos.lt - Pradeda mažaaukščio kvartalo „Niro“ statybą, rinkai pasiūlys 312 įvairaus ploto butų</t>
        </is>
      </c>
      <c r="B41" s="2">
        <f>HYPERLINK("https://www.statybunaujienos.lt/naujiena/Pradeda-mazaaukscio-kvartalo-Niro-statyba-rinkai-pasiulys-312-ivairaus-ploto-butu/26079")</f>
        <v/>
      </c>
      <c r="C41" s="2" t="inlineStr"/>
      <c r="D41" s="2" t="inlineStr">
        <is>
          <t>statybunaujienos.lt</t>
        </is>
      </c>
      <c r="E41" s="8" t="n">
        <v>46063.13638888889</v>
      </c>
      <c r="F41" s="2" t="inlineStr">
        <is>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is>
      </c>
      <c r="G41" s="2" t="n">
        <v>5370</v>
      </c>
      <c r="H41" s="2" t="n">
        <v>0</v>
      </c>
      <c r="I41" s="2" t="n">
        <v>0</v>
      </c>
      <c r="J41" s="2" t="n">
        <v>0</v>
      </c>
      <c r="K41" s="2" t="n"/>
      <c r="L41" s="2" t="inlineStr"/>
      <c r="M41" s="2" t="inlineStr"/>
      <c r="N41" s="2" t="inlineStr">
        <is>
          <t>Lithuania</t>
        </is>
      </c>
      <c r="O41" s="7" t="n">
        <v>49.67</v>
      </c>
      <c r="P41" s="2" t="n">
        <v>27</v>
      </c>
      <c r="Q41" s="2" t="n"/>
    </row>
    <row r="42">
      <c r="A42" s="2" t="inlineStr">
        <is>
          <t>Viešieji pirkimai - Suomija - Diagnostikos sistemos - TIETOPYYNTÖ MARKKINAKARTOITUSTA VARTEN: HUS DIAGNOSTIIKKAKESKUKSEN ALUEEN NELJÄN SAIRAALALABORATORION KEMIAN JA IMMUNOKEMIAN ANALYTIIKAN RATKAISU | LR Valstybė</t>
        </is>
      </c>
      <c r="B42" s="2">
        <f>HYPERLINK("https://lrvalstybe.lt/es-nato-pirkimai/4831706")</f>
        <v/>
      </c>
      <c r="C42" s="2" t="inlineStr"/>
      <c r="D42" s="2" t="inlineStr">
        <is>
          <t>lrvalstybe.lt</t>
        </is>
      </c>
      <c r="E42" s="8" t="n">
        <v>46062.87997685185</v>
      </c>
      <c r="F42" s="2" t="inlineStr">
        <is>
          <t>Tietopyyntöön vastaaminen ei sido mahdollista toimittajaa, eikä ole edellytyksenä myöhemmin varsinaiseen tarjouskilpailuun osallistumiseen. Markkinavuoropuheluun vastaaminen tai vastaamatta jättäminen ei vaikuta mahdollisen toimittajan asemaan varsinaisissa tarjouskilpailuissa.</t>
        </is>
      </c>
      <c r="G42" s="2" t="n">
        <v>64270</v>
      </c>
      <c r="H42" s="2" t="n"/>
      <c r="I42" s="2" t="n"/>
      <c r="J42" s="2" t="n"/>
      <c r="K42" s="2" t="n"/>
      <c r="L42" s="2" t="inlineStr"/>
      <c r="M42" s="2" t="inlineStr"/>
      <c r="N42" s="2" t="inlineStr">
        <is>
          <t>Lithuania</t>
        </is>
      </c>
      <c r="O42" s="7" t="n">
        <v>594.5</v>
      </c>
      <c r="P42" s="2" t="n">
        <v>35</v>
      </c>
      <c r="Q42" s="2" t="n"/>
    </row>
    <row r="43">
      <c r="A43" s="2" t="inlineStr">
        <is>
          <t>„EIKA Development“ įgyvendins virš 32 mln. eurų vertės „Eglės sanatorijos“ rekonstrukciją</t>
        </is>
      </c>
      <c r="B43" s="2">
        <f>HYPERLINK("https://www.delfi.lt/projektai/elta/eika-development-igyvendins-virs-32-mln-euru-vertes-egles-sanatorijos-rekonstrukcija-120209652")</f>
        <v/>
      </c>
      <c r="C43" s="2" t="inlineStr"/>
      <c r="D43" s="2" t="inlineStr">
        <is>
          <t>DELFI Lithuania</t>
        </is>
      </c>
      <c r="E43" s="8" t="n">
        <v>46062.38831018518</v>
      </c>
      <c r="F43" s="2" t="inlineStr">
        <is>
          <t>„Ši sutartis yra svarbus etapas visai mūsų komandai – tai pirmasis projektas, kuriame teiksime valdymo paslaugas, kai statybos darbus vykdo generalinis rangovas“, – pranešime cituojamas „EIKA Development“ vadovas Martynas Žibūda.
M.</t>
        </is>
      </c>
      <c r="G43" s="2" t="n">
        <v>1878795</v>
      </c>
      <c r="H43" s="2" t="n"/>
      <c r="I43" s="2" t="n"/>
      <c r="J43" s="2" t="n"/>
      <c r="K43" s="2" t="n"/>
      <c r="L43" s="2" t="inlineStr">
        <is>
          <t>Vilnius</t>
        </is>
      </c>
      <c r="M43" s="2" t="inlineStr"/>
      <c r="N43" s="2" t="inlineStr">
        <is>
          <t>Lithuania</t>
        </is>
      </c>
      <c r="O43" s="7" t="n">
        <v>9393.98</v>
      </c>
      <c r="P43" s="2" t="n">
        <v>82</v>
      </c>
      <c r="Q43" s="2" t="n"/>
    </row>
    <row r="44">
      <c r="A44" s="2" t="inlineStr">
        <is>
          <t>Statybunaujienos.lt - „Unipark“ valdys naują Kauno oro uosto parkavimo aikštelę: investicijos siekia 10 mln. eurų</t>
        </is>
      </c>
      <c r="B44" s="2">
        <f>HYPERLINK("https://www.statybunaujienos.lt/naujiena/Unipark-valdys-nauja-Kauno-oro-uosto-parkavimo-aikstele-investicijos-siekia-10-mln-euru/26072")</f>
        <v/>
      </c>
      <c r="C44" s="2" t="inlineStr"/>
      <c r="D44" s="2" t="inlineStr">
        <is>
          <t>statybunaujienos.lt</t>
        </is>
      </c>
      <c r="E44" s="8" t="n">
        <v>46062.215</v>
      </c>
      <c r="F44" s="2" t="inlineStr">
        <is>
          <t>2026-02-09 09:08
Nekilnojamojo turto projektų valdymo bendrovė „EIKA Development“ pasirašė statybų valdymo sutartį su „Eglės sanatorija“, pagal kurią bus įgyvendinta viena didžiausių rekonstrukcijų sanatorinio gydymo sektoriuje Lietuvoje.</t>
        </is>
      </c>
      <c r="G44" s="2" t="n">
        <v>5370</v>
      </c>
      <c r="H44" s="2" t="n"/>
      <c r="I44" s="2" t="n"/>
      <c r="J44" s="2" t="n"/>
      <c r="K44" s="2" t="n"/>
      <c r="L44" s="2" t="inlineStr"/>
      <c r="M44" s="2" t="inlineStr"/>
      <c r="N44" s="2" t="inlineStr">
        <is>
          <t>Lithuania</t>
        </is>
      </c>
      <c r="O44" s="7" t="n">
        <v>49.67</v>
      </c>
      <c r="P44" s="2" t="n">
        <v>27</v>
      </c>
      <c r="Q44" s="2" t="n"/>
    </row>
    <row r="45">
      <c r="A45" s="2" t="inlineStr">
        <is>
          <t>Vilniuje besiplečiančios „Shift4“ vadovas: didžiausia rizika Europoje – ne galimybės, o verslo greitis - Verslo žinios</t>
        </is>
      </c>
      <c r="B45" s="2">
        <f>HYPERLINK("https://www.vz.lt/inovacijos/2026/02/09/vilniuje-besipleciancios-shift4-vadovas-didziausia-rizika-europoje-ne-galimybes-o-verslo-greitis-580397")</f>
        <v/>
      </c>
      <c r="C45" s="2" t="inlineStr"/>
      <c r="D45" s="2" t="inlineStr">
        <is>
          <t>Verslo Žinios</t>
        </is>
      </c>
      <c r="E45" s="8" t="n">
        <v>46062.11068287037</v>
      </c>
      <c r="F45" s="2" t="inlineStr">
        <is>
          <t xml:space="preserve">Projektą įgyvendinusi „EIKA Development“ teigia, kad „Shift4“ šiuo metu yra didžiausia jos klientė. 
Paklaustas, kodėl Lietuva išlieka svarbi maždaug 6 mlrd. JAV dolerių vertinamai bendrovei, T. Vizgirda pabrėžia, kad sprendimus lemia ne mažiausi kaštai. </t>
        </is>
      </c>
      <c r="G45" s="2" t="n">
        <v>1213714</v>
      </c>
      <c r="H45" s="2" t="n"/>
      <c r="I45" s="2" t="n"/>
      <c r="J45" s="2" t="n"/>
      <c r="K45" s="2" t="n"/>
      <c r="L45" s="2" t="inlineStr">
        <is>
          <t>Vilnius</t>
        </is>
      </c>
      <c r="M45" s="2" t="inlineStr"/>
      <c r="N45" s="2" t="inlineStr">
        <is>
          <t>Lithuania</t>
        </is>
      </c>
      <c r="O45" s="7" t="n">
        <v>11226.85</v>
      </c>
      <c r="P45" s="2" t="n">
        <v>58</v>
      </c>
      <c r="Q45" s="2" t="n"/>
    </row>
    <row r="46">
      <c r="A46" s="2" t="inlineStr">
        <is>
          <t>Statybunaujienos.lt - „EIKA Development“ imasi 32 mln. eurų vertės „Eglės sanatorijos“ rekonstrukcijos Druskininkuose</t>
        </is>
      </c>
      <c r="B46" s="2">
        <f>HYPERLINK("https://www.statybunaujienos.lt/naujiena/EIKA-Development-imasi-32-mln-euru-vertes-Egles-sanatorijos-rekonstrukcijos-Druskininkuose/26069")</f>
        <v/>
      </c>
      <c r="C46" s="2" t="inlineStr"/>
      <c r="D46" s="2" t="inlineStr">
        <is>
          <t>statybunaujienos.lt</t>
        </is>
      </c>
      <c r="E46" s="8" t="n">
        <v>46062.07207175926</v>
      </c>
      <c r="F46" s="2" t="inlineStr">
        <is>
          <t>„EIKA Development“ vaidmuo ir atsakomybės
„EIKA Development“ prisiėmė visapusišką atsakomybę už suplanuotų rekonstrukcijos darbų įgyvendinimą.</t>
        </is>
      </c>
      <c r="G46" s="2" t="n">
        <v>5370</v>
      </c>
      <c r="H46" s="2" t="n">
        <v>0</v>
      </c>
      <c r="I46" s="2" t="n">
        <v>0</v>
      </c>
      <c r="J46" s="2" t="n">
        <v>0</v>
      </c>
      <c r="K46" s="2" t="n"/>
      <c r="L46" s="2" t="inlineStr"/>
      <c r="M46" s="2" t="inlineStr"/>
      <c r="N46" s="2" t="inlineStr">
        <is>
          <t>Lithuania</t>
        </is>
      </c>
      <c r="O46" s="7" t="n">
        <v>49.67</v>
      </c>
      <c r="P46" s="2" t="n">
        <v>27</v>
      </c>
      <c r="Q46" s="2" t="n"/>
    </row>
    <row r="47">
      <c r="A47" s="2" t="inlineStr">
        <is>
          <t>„EIKA Development“ teiks statybų valdymo paslaugas „Eglės sanatorijos“ rekonstrukcijai Druskininkuose</t>
        </is>
      </c>
      <c r="B47" s="2">
        <f>HYPERLINK("https://www.15min.lt/verslas/naujiena/bns-spaudos-centras/eika-development-teiks-statybu-valdymo-paslaugas-egles-sanatorijos-rekonstrukcijai-druskininkuose-523584")</f>
        <v/>
      </c>
      <c r="C47" s="2" t="inlineStr"/>
      <c r="D47" s="2" t="inlineStr">
        <is>
          <t>15min</t>
        </is>
      </c>
      <c r="E47" s="8" t="n">
        <v>46062.07202546296</v>
      </c>
      <c r="F47" s="2" t="inlineStr">
        <is>
          <t>Tai aiškus signalas rinkai, kad esame vertinami dėl stiprių kompetencijų, patirties ir pasitikėjimo, ypač viešbučių ir SPA centrų vystymo srityje“, – sako Martynas Žibūda, „EIKA Development“ vadovas.</t>
        </is>
      </c>
      <c r="G47" s="2" t="n">
        <v>1426746</v>
      </c>
      <c r="H47" s="2" t="n">
        <v>0</v>
      </c>
      <c r="I47" s="2" t="n">
        <v>0</v>
      </c>
      <c r="J47" s="2" t="n">
        <v>0</v>
      </c>
      <c r="K47" s="2" t="n"/>
      <c r="L47" s="2" t="inlineStr">
        <is>
          <t>Vilnius</t>
        </is>
      </c>
      <c r="M47" s="2" t="inlineStr">
        <is>
          <t>Vilniaus Apskritis</t>
        </is>
      </c>
      <c r="N47" s="2" t="inlineStr">
        <is>
          <t>Lithuania</t>
        </is>
      </c>
      <c r="O47" s="7" t="n">
        <v>13197.4</v>
      </c>
      <c r="P47" s="2" t="n">
        <v>73</v>
      </c>
      <c r="Q47" s="2" t="n"/>
    </row>
    <row r="48">
      <c r="A48" s="2" t="inlineStr">
        <is>
          <t>„EIKA Development“ teiks statybų valdymo paslaugas „Eglės sanatorijos“ rekonstrukcijai Druskininkuose</t>
        </is>
      </c>
      <c r="B48" s="2">
        <f>HYPERLINK("https://sc.bns.lt/view/item/eika-development-teiks-statybu-valdymo-paslaugas-egles-sanatorijos-rekonstrukcijai-druskininkuose-523584")</f>
        <v/>
      </c>
      <c r="C48" s="2" t="inlineStr"/>
      <c r="D48" s="2" t="inlineStr">
        <is>
          <t>Baltic News Service (Lithuania)</t>
        </is>
      </c>
      <c r="E48" s="8" t="n">
        <v>46062.06916666667</v>
      </c>
      <c r="F48" s="2" t="inlineStr">
        <is>
          <t>Nekilnojamojo turto projektų valdymo įmonė „EIKA Development“ pasirašė statybų valdymo sutartį su „Eglės sanatorija“, kuria remiantis, įgyvendins didelio masto rekonstrukciją.</t>
        </is>
      </c>
      <c r="G48" s="2" t="n">
        <v>32397</v>
      </c>
      <c r="H48" s="2" t="n">
        <v>0</v>
      </c>
      <c r="I48" s="2" t="n">
        <v>0</v>
      </c>
      <c r="J48" s="2" t="n">
        <v>0</v>
      </c>
      <c r="K48" s="2" t="n"/>
      <c r="L48" s="2" t="inlineStr">
        <is>
          <t>Vilnius</t>
        </is>
      </c>
      <c r="M48" s="2" t="inlineStr"/>
      <c r="N48" s="2" t="inlineStr">
        <is>
          <t>Lithuania</t>
        </is>
      </c>
      <c r="O48" s="7" t="n">
        <v>299.67</v>
      </c>
      <c r="P48" s="2" t="n">
        <v>55</v>
      </c>
      <c r="Q48" s="2" t="n"/>
    </row>
    <row r="49">
      <c r="A49" s="2" t="inlineStr">
        <is>
          <t>„Jasinskio2“ verslo centre įsikurs nauja klinika</t>
        </is>
      </c>
      <c r="B49" s="2">
        <f>HYPERLINK("https://madeinvilnius.lt/verslas/nekilnojamas-turtas/jasinskio2-verslo-centre-isikurs-nauja-klinika/")</f>
        <v/>
      </c>
      <c r="C49" s="2" t="inlineStr"/>
      <c r="D49" s="2" t="inlineStr">
        <is>
          <t>madeinvilnius.lt</t>
        </is>
      </c>
      <c r="E49" s="8" t="n">
        <v>46058.95833333334</v>
      </c>
      <c r="F49" s="2" t="inlineStr">
        <is>
          <t>Su šia sutartimi „EIKA Development“ valdomas pastatas pasiekė net 95 proc. užimtumą. Atsižvelgiant į pastarųjų metų komercinio NT rinką tai – labai geras rezultatas.
„Net ir esant sudėtingoms rinkos sąlygoms „Jasinskio2“ toliau demonstruoja tvirtą poziciją tarp sostinės verslo centrų.</t>
        </is>
      </c>
      <c r="G49" s="2" t="n">
        <v>349239</v>
      </c>
      <c r="H49" s="2" t="n"/>
      <c r="I49" s="2" t="n"/>
      <c r="J49" s="2" t="n"/>
      <c r="K49" s="2" t="n"/>
      <c r="L49" s="2" t="inlineStr"/>
      <c r="M49" s="2" t="inlineStr"/>
      <c r="N49" s="2" t="inlineStr">
        <is>
          <t>Lithuania</t>
        </is>
      </c>
      <c r="O49" s="7" t="n">
        <v>3230.46</v>
      </c>
      <c r="P49" s="2" t="n">
        <v>35</v>
      </c>
      <c r="Q49" s="2" t="n"/>
    </row>
    <row r="50">
      <c r="A50" s="2" t="inlineStr">
        <is>
          <t>Suomija - Rentgeno įrangos remonto ir priežiūros paslaugos - Samsung natiivikuvauslaitteiden ja osastonkuvauslaitteiden huoltopalvelu</t>
        </is>
      </c>
      <c r="B50" s="2">
        <f>HYPERLINK("https://lrvalstybe.lt/es-nato-pirkimai/4825358")</f>
        <v/>
      </c>
      <c r="C50" s="2" t="inlineStr"/>
      <c r="D50" s="2" t="inlineStr">
        <is>
          <t>lrvalstybe.lt</t>
        </is>
      </c>
      <c r="E50" s="8" t="n">
        <v>46058.88131944444</v>
      </c>
      <c r="F50" s="2" t="inlineStr">
        <is>
          <t>Suorahankinnan perusteena on hankintalain 40 §:n 2 momentin 2 kohta teknisestä syystä vain tietty toimittaja voi toteuttaa hankinnan; lisäedellytyksenä on, että järkeviä vaihtoehtoisia tai korvaavia ratkaisuja ei ole eikä kilpailun puuttuminen johdu hankinnan ehtojen
keinotekoisesta kaventamisesta.</t>
        </is>
      </c>
      <c r="G50" s="2" t="n">
        <v>64270</v>
      </c>
      <c r="H50" s="2" t="n">
        <v>0</v>
      </c>
      <c r="I50" s="2" t="n">
        <v>0</v>
      </c>
      <c r="J50" s="2" t="n">
        <v>0</v>
      </c>
      <c r="K50" s="2" t="n"/>
      <c r="L50" s="2" t="inlineStr"/>
      <c r="M50" s="2" t="inlineStr"/>
      <c r="N50" s="2" t="inlineStr">
        <is>
          <t>Lithuania</t>
        </is>
      </c>
      <c r="O50" s="7" t="n">
        <v>594.5</v>
      </c>
      <c r="P50" s="2" t="n">
        <v>35</v>
      </c>
      <c r="Q50" s="2" t="n"/>
    </row>
    <row r="51">
      <c r="A51" s="2" t="inlineStr">
        <is>
          <t>Suomija - Medicinos įranga, farmacijos ir asmens higienos produktai - TIETOPYYNTÖ, Kuvantamisen pientarvikkeet HUS 398-2025</t>
        </is>
      </c>
      <c r="B51" s="2">
        <f>HYPERLINK("https://lrvalstybe.lt/es-nato-pirkimai/4824974")</f>
        <v/>
      </c>
      <c r="C51" s="2" t="inlineStr"/>
      <c r="D51" s="2" t="inlineStr">
        <is>
          <t>lrvalstybe.lt</t>
        </is>
      </c>
      <c r="E51" s="8" t="n">
        <v>46058.87931712963</v>
      </c>
      <c r="F51" s="2" t="inlineStr">
        <is>
          <t>HUOM: Tämä tietopyyntö ei ole hankintailmoitus, ennakkoilmoitus eikä tarjouspyyntö, eikä ilmoituksen julkaisemisella aloiteta tarjouskilpailua.</t>
        </is>
      </c>
      <c r="G51" s="2" t="n">
        <v>64270</v>
      </c>
      <c r="H51" s="2" t="n">
        <v>0</v>
      </c>
      <c r="I51" s="2" t="n">
        <v>0</v>
      </c>
      <c r="J51" s="2" t="n">
        <v>0</v>
      </c>
      <c r="K51" s="2" t="n"/>
      <c r="L51" s="2" t="inlineStr"/>
      <c r="M51" s="2" t="inlineStr"/>
      <c r="N51" s="2" t="inlineStr">
        <is>
          <t>Lithuania</t>
        </is>
      </c>
      <c r="O51" s="7" t="n">
        <v>594.5</v>
      </c>
      <c r="P51" s="2" t="n">
        <v>35</v>
      </c>
      <c r="Q51" s="2" t="n"/>
    </row>
    <row r="52">
      <c r="A52" s="2" t="inlineStr">
        <is>
          <t>Statybunaujienos.lt - Žemės sklypų ženklinimo ir kadastro pažeidimai: NŽT statistika</t>
        </is>
      </c>
      <c r="B52" s="2">
        <f>HYPERLINK("https://www.statybunaujienos.lt/naujiena/Zemes-sklypu-zenklinimo-ir-kadastro-pazeidimai-NZT-statistika/26058")</f>
        <v/>
      </c>
      <c r="C52" s="2" t="inlineStr"/>
      <c r="D52" s="2" t="inlineStr">
        <is>
          <t>statybunaujienos.lt</t>
        </is>
      </c>
      <c r="E52" s="8" t="n">
        <v>46058.19888888889</v>
      </c>
      <c r="F52" s="2" t="inlineStr">
        <is>
          <t>„EIKA Development“, pardavusi 94 butus, užėmė rekordiškai didelę – 15 proc. – rinkos dalį.</t>
        </is>
      </c>
      <c r="G52" s="2" t="n">
        <v>5370</v>
      </c>
      <c r="H52" s="2" t="n">
        <v>0</v>
      </c>
      <c r="I52" s="2" t="n">
        <v>0</v>
      </c>
      <c r="J52" s="2" t="n">
        <v>0</v>
      </c>
      <c r="K52" s="2" t="n"/>
      <c r="L52" s="2" t="inlineStr"/>
      <c r="M52" s="2" t="inlineStr"/>
      <c r="N52" s="2" t="inlineStr">
        <is>
          <t>Lithuania</t>
        </is>
      </c>
      <c r="O52" s="7" t="n">
        <v>49.67</v>
      </c>
      <c r="P52" s="2" t="n">
        <v>27</v>
      </c>
      <c r="Q52" s="2" t="n"/>
    </row>
    <row r="53">
      <c r="A53" s="2" t="inlineStr">
        <is>
          <t>Statybunaujienos.lt - Naujos viešųjų pirkimų taisyklės verslui: ko tikėtis?</t>
        </is>
      </c>
      <c r="B53" s="2">
        <f>HYPERLINK("https://www.statybunaujienos.lt/naujiena/Naujos-viesuju-pirkimu-taisykles-verslui-ko-tiketis/26055")</f>
        <v/>
      </c>
      <c r="C53" s="2" t="inlineStr"/>
      <c r="D53" s="2" t="inlineStr">
        <is>
          <t>statybunaujienos.lt</t>
        </is>
      </c>
      <c r="E53" s="8" t="n">
        <v>46058.11141203704</v>
      </c>
      <c r="F53" s="2" t="inlineStr">
        <is>
          <t>„EIKA Development“, pardavusi 94 butus, užėmė rekordiškai didelę – 15 proc. – rinkos dalį.</t>
        </is>
      </c>
      <c r="G53" s="2" t="n">
        <v>5370</v>
      </c>
      <c r="H53" s="2" t="n">
        <v>0</v>
      </c>
      <c r="I53" s="2" t="n">
        <v>0</v>
      </c>
      <c r="J53" s="2" t="n">
        <v>0</v>
      </c>
      <c r="K53" s="2" t="n"/>
      <c r="L53" s="2" t="inlineStr"/>
      <c r="M53" s="2" t="inlineStr"/>
      <c r="N53" s="2" t="inlineStr">
        <is>
          <t>Lithuania</t>
        </is>
      </c>
      <c r="O53" s="7" t="n">
        <v>49.67</v>
      </c>
      <c r="P53" s="2" t="n">
        <v>27</v>
      </c>
      <c r="Q53" s="2" t="n"/>
    </row>
    <row r="54">
      <c r="A54" s="2" t="inlineStr">
        <is>
          <t>„Jasinskio2“ verslo centras pasiekė 95 proc. užimtumą: trečiame aukšte įsikurs nauja klinika</t>
        </is>
      </c>
      <c r="B54" s="2">
        <f>HYPERLINK("https://www.15min.lt/verslas/naujiena/bns-spaudos-centras/jasinskio2-verslo-centras-pasieke-95-proc-uzimtuma-treciame-aukste-isikurs-nauja-klinika-523440")</f>
        <v/>
      </c>
      <c r="C54" s="2" t="inlineStr"/>
      <c r="D54" s="2" t="inlineStr">
        <is>
          <t>15min</t>
        </is>
      </c>
      <c r="E54" s="8" t="n">
        <v>46058.07746527778</v>
      </c>
      <c r="F54" s="2" t="inlineStr">
        <is>
          <t>Trečiame aukšte įsikursianti klinika tik patvirtina, kad mūsų valdomas verslo centras atitinka net ir šiuolaikinių medicinos centrų keliamus aukštus lūkesčius“, – sako Giedrius Brūzgė, „EIKA Development“ turto valdymo departamento direktorius.
Pasak G.</t>
        </is>
      </c>
      <c r="G54" s="2" t="n">
        <v>1426746</v>
      </c>
      <c r="H54" s="2" t="n">
        <v>0</v>
      </c>
      <c r="I54" s="2" t="n">
        <v>0</v>
      </c>
      <c r="J54" s="2" t="n">
        <v>0</v>
      </c>
      <c r="K54" s="2" t="n"/>
      <c r="L54" s="2" t="inlineStr">
        <is>
          <t>Vilnius</t>
        </is>
      </c>
      <c r="M54" s="2" t="inlineStr">
        <is>
          <t>Vilniaus Apskritis</t>
        </is>
      </c>
      <c r="N54" s="2" t="inlineStr">
        <is>
          <t>Lithuania</t>
        </is>
      </c>
      <c r="O54" s="7" t="n">
        <v>13197.4</v>
      </c>
      <c r="P54" s="2" t="n">
        <v>73</v>
      </c>
      <c r="Q54" s="2" t="n"/>
    </row>
    <row r="55">
      <c r="A55" s="2" t="inlineStr">
        <is>
          <t>Statybunaujienos.lt - Darbų saugos nepaisymas – kelias į didesnes „Sodros“ įmokas</t>
        </is>
      </c>
      <c r="B55" s="2">
        <f>HYPERLINK("https://www.statybunaujienos.lt/naujiena/Darbu-saugos-nepaisymas-kelias-i-didesnes-Sodros-imokas/26054")</f>
        <v/>
      </c>
      <c r="C55" s="2" t="inlineStr"/>
      <c r="D55" s="2" t="inlineStr">
        <is>
          <t>statybunaujienos.lt</t>
        </is>
      </c>
      <c r="E55" s="8" t="n">
        <v>46058.06236111111</v>
      </c>
      <c r="F55" s="2" t="inlineStr">
        <is>
          <t>„EIKA Development“, pardavusi 94 butus, užėmė rekordiškai didelę – 15 proc. – rinkos dalį.</t>
        </is>
      </c>
      <c r="G55" s="2" t="n">
        <v>5370</v>
      </c>
      <c r="H55" s="2" t="n">
        <v>0</v>
      </c>
      <c r="I55" s="2" t="n">
        <v>0</v>
      </c>
      <c r="J55" s="2" t="n">
        <v>0</v>
      </c>
      <c r="K55" s="2" t="n"/>
      <c r="L55" s="2" t="inlineStr"/>
      <c r="M55" s="2" t="inlineStr"/>
      <c r="N55" s="2" t="inlineStr">
        <is>
          <t>Lithuania</t>
        </is>
      </c>
      <c r="O55" s="7" t="n">
        <v>49.67</v>
      </c>
      <c r="P55" s="2" t="n">
        <v>27</v>
      </c>
      <c r="Q55" s="2" t="n"/>
    </row>
    <row r="56">
      <c r="A56" s="2" t="inlineStr">
        <is>
          <t>„Jasinskio2“ verslo centras pasiekė 95 proc. užimtumą: trečiame aukšte įsikurs nauja klinika</t>
        </is>
      </c>
      <c r="B56" s="2">
        <f>HYPERLINK("https://sc.bns.lt/view/item/jasinskio2-verslo-centras-pasieke-95-proc-uzimtuma-treciame-aukste-isikurs-nauja-klinika-523440")</f>
        <v/>
      </c>
      <c r="C56" s="2" t="inlineStr"/>
      <c r="D56" s="2" t="inlineStr">
        <is>
          <t>Baltic News Service (Lithuania)</t>
        </is>
      </c>
      <c r="E56" s="8" t="n">
        <v>46058.06061342593</v>
      </c>
      <c r="F56" s="2" t="inlineStr">
        <is>
          <t>Su šia sutartimi „EIKA Development“ valdomas pastatas pasiekė net 95 proc. užimtumą. Atsižvelgiant į pastarųjų metų komercinio NT rinką tai – labai geras rezultatas.
„Net ir esant sudėtingoms rinkos sąlygoms „Jasinskio2“ toliau demonstruoja tvirtą poziciją tarp sostinės verslo centrų.</t>
        </is>
      </c>
      <c r="G56" s="2" t="n">
        <v>32397</v>
      </c>
      <c r="H56" s="2" t="n">
        <v>0</v>
      </c>
      <c r="I56" s="2" t="n">
        <v>0</v>
      </c>
      <c r="J56" s="2" t="n">
        <v>0</v>
      </c>
      <c r="K56" s="2" t="n"/>
      <c r="L56" s="2" t="inlineStr">
        <is>
          <t>Vilnius</t>
        </is>
      </c>
      <c r="M56" s="2" t="inlineStr"/>
      <c r="N56" s="2" t="inlineStr">
        <is>
          <t>Lithuania</t>
        </is>
      </c>
      <c r="O56" s="7" t="n">
        <v>299.67</v>
      </c>
      <c r="P56" s="2" t="n">
        <v>55</v>
      </c>
      <c r="Q56" s="2" t="n"/>
    </row>
    <row r="57">
      <c r="A57" s="2" t="inlineStr">
        <is>
          <t>„Jasinskio2“ verslo centras pasiekė 95 proc. užimtumą: trečiame aukšte įsikurs nauja klinika</t>
        </is>
      </c>
      <c r="B57" s="2">
        <f>HYPERLINK("https://www.elta.lt/lt/pranesimai-spaudai/jasinskio2-verslo-centras-pasieke-95-proc-uzimtuma-treciame-aukste-isikurs-nauja-klinika-261350")</f>
        <v/>
      </c>
      <c r="C57" s="2" t="inlineStr"/>
      <c r="D57" s="2" t="inlineStr">
        <is>
          <t>elta.lt</t>
        </is>
      </c>
      <c r="E57" s="8" t="n">
        <v>46058</v>
      </c>
      <c r="F57" s="2" t="inlineStr">
        <is>
          <t>Su šia sutartimi „EIKA Development“ valdomas pastatas pasiekė net 95 proc. užimtumą. Atsižvelgiant į pastarųjų metų komercinio NT rinką tai – labai geras rezultatas.
„Net ir esant sudėtingoms rinkos sąlygoms „Jasinskio2“ toliau demonstruoja tvirtą poziciją tarp sostinės verslo centrų.</t>
        </is>
      </c>
      <c r="G57" s="2" t="n">
        <v>9121</v>
      </c>
      <c r="H57" s="2" t="n"/>
      <c r="I57" s="2" t="n"/>
      <c r="J57" s="2" t="n"/>
      <c r="K57" s="2" t="n"/>
      <c r="L57" s="2" t="inlineStr"/>
      <c r="M57" s="2" t="inlineStr"/>
      <c r="N57" s="2" t="inlineStr">
        <is>
          <t>Lithuania</t>
        </is>
      </c>
      <c r="O57" s="7" t="n">
        <v>84.37</v>
      </c>
      <c r="P57" s="2" t="n">
        <v>44</v>
      </c>
      <c r="Q57" s="2" t="n"/>
    </row>
    <row r="58">
      <c r="A58" s="2" t="inlineStr">
        <is>
          <t xml:space="preserve">Epsteino failuose minima lietuvė iškėlė klausimų dėl sąsajų su „Eika“ </t>
        </is>
      </c>
      <c r="B58" s="2">
        <f>HYPERLINK("https://www.delfi.lt/verslas/naujienos/epsteino-failuose-minima-lietuve-iskele-klausimu-del-sasaju-su-eika-120207621")</f>
        <v/>
      </c>
      <c r="C58" s="2" t="inlineStr">
        <is>
          <t>Kornelija Mykolaitytė, Raminta Žilionytė</t>
        </is>
      </c>
      <c r="D58" s="2" t="inlineStr">
        <is>
          <t>DELFI Lithuania</t>
        </is>
      </c>
      <c r="E58" s="8" t="n">
        <v>46057.50572916667</v>
      </c>
      <c r="F58" s="2" t="inlineStr">
        <is>
          <t>„Delfi“ jau rašė, kad paviešinti bylos dokumentai atskleidė renginių organizatoriaus Valdo Petreikio ir jo žmonos ryšius su J. Epsteinu, tarp paminėtų asmenų atsidūrė ir lietuvių modeliai, smuikininkė. Visą sąrašą galite rasti tekste žemiau. Dokumentuose figūruoja dar viena lietuvė, kurios vardas minimas šimtus kartų.</t>
        </is>
      </c>
      <c r="G58" s="2" t="n">
        <v>1878795</v>
      </c>
      <c r="H58" s="2" t="n"/>
      <c r="I58" s="2" t="n"/>
      <c r="J58" s="2" t="n"/>
      <c r="K58" s="2" t="n"/>
      <c r="L58" s="2" t="inlineStr">
        <is>
          <t>Vilnius</t>
        </is>
      </c>
      <c r="M58" s="2" t="inlineStr"/>
      <c r="N58" s="2" t="inlineStr">
        <is>
          <t>Lithuania</t>
        </is>
      </c>
      <c r="O58" s="7" t="n">
        <v>9393.98</v>
      </c>
      <c r="P58" s="2" t="n">
        <v>82</v>
      </c>
      <c r="Q58" s="2" t="n"/>
    </row>
    <row r="59">
      <c r="A59" s="2" t="inlineStr">
        <is>
          <t>„EIKA Asset Management“ pernai pritraukė daugiau nei 35 mln. eurų naujoms investicijoms</t>
        </is>
      </c>
      <c r="B59" s="2">
        <f>HYPERLINK("https://www.delfi.lt/projektai/elta/eika-asset-management-pernai-pritrauke-daugiau-nei-35-mln-euru-naujoms-investicijoms-120207623")</f>
        <v/>
      </c>
      <c r="C59" s="2" t="inlineStr"/>
      <c r="D59" s="2" t="inlineStr">
        <is>
          <t>DELFI Lithuania</t>
        </is>
      </c>
      <c r="E59" s="8" t="n">
        <v>46057.34833333334</v>
      </c>
      <c r="F59" s="2" t="inlineStr">
        <is>
          <t>Pernai EAM uždarė pirmąjį gyvenamosios paskirties nekilnojamojo turto (NT) vystymo fondą „Eika Residential Fund“. Vidutinė metinė grąža, atskaičius valdymo ir sėkmės mokesčius, siekė 31,37 proc. ir viršijo investuotojų lūkesčius.</t>
        </is>
      </c>
      <c r="G59" s="2" t="n">
        <v>1878795</v>
      </c>
      <c r="H59" s="2" t="n"/>
      <c r="I59" s="2" t="n"/>
      <c r="J59" s="2" t="n"/>
      <c r="K59" s="2" t="n"/>
      <c r="L59" s="2" t="inlineStr">
        <is>
          <t>Vilnius</t>
        </is>
      </c>
      <c r="M59" s="2" t="inlineStr"/>
      <c r="N59" s="2" t="inlineStr">
        <is>
          <t>Lithuania</t>
        </is>
      </c>
      <c r="O59" s="7" t="n">
        <v>9393.98</v>
      </c>
      <c r="P59" s="2" t="n">
        <v>82</v>
      </c>
      <c r="Q59" s="2" t="n"/>
    </row>
    <row r="60">
      <c r="A60" s="2" t="inlineStr">
        <is>
          <t>„EIKA Asset Management“ per 2025 metus pritraukė daugiau nei 35 mln. eurų naujoms investicijoms</t>
        </is>
      </c>
      <c r="B60" s="2">
        <f>HYPERLINK("https://sc.bns.lt/view/item/eika-asset-management-per-2025-metus-pritrauke-daugiau-nei-35-mln-euru-naujoms-investicijoms-523358")</f>
        <v/>
      </c>
      <c r="C60" s="2" t="inlineStr"/>
      <c r="D60" s="2" t="inlineStr">
        <is>
          <t>Baltic News Service (Lithuania)</t>
        </is>
      </c>
      <c r="E60" s="8" t="n">
        <v>46057.20569444444</v>
      </c>
      <c r="F60" s="2" t="inlineStr">
        <is>
          <t>Praėjusiais metais EAM sėkmingai uždarė pirmąjį gyvenamosios paskirties NT vystymo fondą „Eika Residential Fund“. Vidutinė metinė grąža, atskaičius valdymo ir sėkmės mokesčius, siekė 31,37 % ir viršijo investuotojų lūkesčius.</t>
        </is>
      </c>
      <c r="G60" s="2" t="n">
        <v>32397</v>
      </c>
      <c r="H60" s="2" t="n">
        <v>0</v>
      </c>
      <c r="I60" s="2" t="n">
        <v>0</v>
      </c>
      <c r="J60" s="2" t="n">
        <v>0</v>
      </c>
      <c r="K60" s="2" t="n"/>
      <c r="L60" s="2" t="inlineStr">
        <is>
          <t>Vilnius</t>
        </is>
      </c>
      <c r="M60" s="2" t="inlineStr"/>
      <c r="N60" s="2" t="inlineStr">
        <is>
          <t>Lithuania</t>
        </is>
      </c>
      <c r="O60" s="7" t="n">
        <v>299.67</v>
      </c>
      <c r="P60" s="2" t="n">
        <v>55</v>
      </c>
      <c r="Q60" s="2" t="n"/>
    </row>
    <row r="61">
      <c r="A61" s="2" t="inlineStr">
        <is>
          <t>Statybunaujienos.lt - „Piliamiestyje“ baigtas statyti namas, kurio butai išpirkti dar iki statybų pabaigos</t>
        </is>
      </c>
      <c r="B61" s="2">
        <f>HYPERLINK("https://www.statybunaujienos.lt/naujiena/Piliamiestyje-baigtas-statyti-namas-kurio-butai-ispirkti-dar-iki-statybu-pabaigos/26044")</f>
        <v/>
      </c>
      <c r="C61" s="2" t="inlineStr"/>
      <c r="D61" s="2" t="inlineStr">
        <is>
          <t>statybunaujienos.lt</t>
        </is>
      </c>
      <c r="E61" s="8" t="n">
        <v>46057.15525462963</v>
      </c>
      <c r="F61" s="2" t="inlineStr">
        <is>
          <t>Vos 33 būstų projektas išsiskiria savo prabanga – estetiniais sprendiniais rūpinosi su pasaulinio garso kompanijomis dirbę dizaineriai, gyventojų pato...
2026-01-06 08:39
Nekilnojamojo turto projektų valdymo bendrovė „EIKA Development“ šalia Visorių miško parko Vilniuje pradeda valdyti naujo projekto</t>
        </is>
      </c>
      <c r="G61" s="2" t="n">
        <v>5370</v>
      </c>
      <c r="H61" s="2" t="n"/>
      <c r="I61" s="2" t="n"/>
      <c r="J61" s="2" t="n"/>
      <c r="K61" s="2" t="n"/>
      <c r="L61" s="2" t="inlineStr"/>
      <c r="M61" s="2" t="inlineStr"/>
      <c r="N61" s="2" t="inlineStr">
        <is>
          <t>Lithuania</t>
        </is>
      </c>
      <c r="O61" s="7" t="n">
        <v>49.67</v>
      </c>
      <c r="P61" s="2" t="n">
        <v>27</v>
      </c>
      <c r="Q61" s="2" t="n"/>
    </row>
    <row r="62">
      <c r="A62" s="2" t="inlineStr">
        <is>
          <t>Statybunaujienos.lt - Registrų centro duomenys rodo – NT sandorių rinka metų pradžioje suaktyvėjo</t>
        </is>
      </c>
      <c r="B62" s="2">
        <f>HYPERLINK("https://www.statybunaujienos.lt/naujiena/Registru-centro-duomenys-rodo-NT-sandoriu-rinka-metu-pradzioje-suaktyvejo/26043")</f>
        <v/>
      </c>
      <c r="C62" s="2" t="inlineStr"/>
      <c r="D62" s="2" t="inlineStr">
        <is>
          <t>statybunaujienos.lt</t>
        </is>
      </c>
      <c r="E62" s="8" t="n">
        <v>46057.13807870371</v>
      </c>
      <c r="F62" s="2" t="inlineStr">
        <is>
          <t>„EIKA Development“, pardavusi 94 butus, užėmė rekordiškai didelę – 15 proc. – rinkos dalį.</t>
        </is>
      </c>
      <c r="G62" s="2" t="n">
        <v>5370</v>
      </c>
      <c r="H62" s="2" t="n">
        <v>0</v>
      </c>
      <c r="I62" s="2" t="n">
        <v>0</v>
      </c>
      <c r="J62" s="2" t="n">
        <v>0</v>
      </c>
      <c r="K62" s="2" t="n"/>
      <c r="L62" s="2" t="inlineStr"/>
      <c r="M62" s="2" t="inlineStr"/>
      <c r="N62" s="2" t="inlineStr">
        <is>
          <t>Lithuania</t>
        </is>
      </c>
      <c r="O62" s="7" t="n">
        <v>49.67</v>
      </c>
      <c r="P62" s="2" t="n">
        <v>27</v>
      </c>
      <c r="Q62" s="2" t="n"/>
    </row>
    <row r="63">
      <c r="A63" s="2" t="inlineStr">
        <is>
          <t>„EIKA Asset Management“ per 2025 metus pritraukė daugiau nei 35 mln. eurų naujoms investicijoms</t>
        </is>
      </c>
      <c r="B63" s="2">
        <f>HYPERLINK("https://www.15min.lt/verslas/naujiena/bns-spaudos-centras/eika-asset-management-per-2025-metus-pritrauke-daugiau-nei-35-mln-euru-naujoms-investicijoms-523358")</f>
        <v/>
      </c>
      <c r="C63" s="2" t="inlineStr"/>
      <c r="D63" s="2" t="inlineStr">
        <is>
          <t>15min</t>
        </is>
      </c>
      <c r="E63" s="8" t="n">
        <v>46057.13453703704</v>
      </c>
      <c r="F63" s="2" t="inlineStr">
        <is>
          <t>Šiuo metu didžiausias EAM valdomas nekilnojamojo turto fondas yra „Eika Real Estate Fund“ (EREF), investuojantis į tradicinį komercinį NT Centrinėje ir Rytų Europoje.</t>
        </is>
      </c>
      <c r="G63" s="2" t="n">
        <v>1426746</v>
      </c>
      <c r="H63" s="2" t="n">
        <v>0</v>
      </c>
      <c r="I63" s="2" t="n">
        <v>0</v>
      </c>
      <c r="J63" s="2" t="n">
        <v>0</v>
      </c>
      <c r="K63" s="2" t="n"/>
      <c r="L63" s="2" t="inlineStr">
        <is>
          <t>Vilnius</t>
        </is>
      </c>
      <c r="M63" s="2" t="inlineStr">
        <is>
          <t>Vilniaus Apskritis</t>
        </is>
      </c>
      <c r="N63" s="2" t="inlineStr">
        <is>
          <t>Lithuania</t>
        </is>
      </c>
      <c r="O63" s="7" t="n">
        <v>13197.4</v>
      </c>
      <c r="P63" s="2" t="n">
        <v>73</v>
      </c>
      <c r="Q63" s="2" t="n"/>
    </row>
    <row r="64">
      <c r="A64" s="2" t="inlineStr">
        <is>
          <t>Teismas turės iš naujo spręsti „Darnu Group“ įmonės ir Kalėjimų tarnybos ginčą dėl Šiaulių kalėjimo</t>
        </is>
      </c>
      <c r="B64" s="2">
        <f>HYPERLINK("https://www.15min.lt/verslas/naujiena/finansai/teismas-tures-is-naujo-spresti-darnu-group-imones-ir-kalejimu-tarnybos-ginca-del-siauliu-kalejimo-662-2614740")</f>
        <v/>
      </c>
      <c r="C64" s="2" t="inlineStr">
        <is>
          <t>Algimantė Ambrulaitytė</t>
        </is>
      </c>
      <c r="D64" s="2" t="inlineStr">
        <is>
          <t>15min</t>
        </is>
      </c>
      <c r="E64" s="8" t="n">
        <v>46057.05597222222</v>
      </c>
      <c r="F64" s="2" t="inlineStr">
        <is>
          <t xml:space="preserve">Jį skundė NT plėtros grupės „Eika Group“ antrinė bendrovė „Būsto projektai SPV, „DG VPP vystymas“ bei fizinio asmens valdoma bendrovė „Amberola“. </t>
        </is>
      </c>
      <c r="G64" s="2" t="n">
        <v>1426746</v>
      </c>
      <c r="H64" s="2" t="n"/>
      <c r="I64" s="2" t="n"/>
      <c r="J64" s="2" t="n"/>
      <c r="K64" s="2" t="n"/>
      <c r="L64" s="2" t="inlineStr">
        <is>
          <t>Vilnius</t>
        </is>
      </c>
      <c r="M64" s="2" t="inlineStr">
        <is>
          <t>Vilniaus Apskritis</t>
        </is>
      </c>
      <c r="N64" s="2" t="inlineStr">
        <is>
          <t>Lithuania</t>
        </is>
      </c>
      <c r="O64" s="7" t="n">
        <v>13197.4</v>
      </c>
      <c r="P64" s="2" t="n">
        <v>73</v>
      </c>
      <c r="Q64" s="2" t="n"/>
    </row>
    <row r="65">
      <c r="A65" s="2" t="inlineStr">
        <is>
          <t>„EIKA Asset Management“ per 2025 metus pritraukė daugiau nei 35 mln. eurų naujoms investicijoms</t>
        </is>
      </c>
      <c r="B65" s="2">
        <f>HYPERLINK("https://www.elta.lt/lt/pranesimai-spaudai/eika-asset-management-per-2025-metus-pritrauke-daugiau-nei-35-mln-euru-naujoms-investicijoms-261307")</f>
        <v/>
      </c>
      <c r="C65" s="2" t="inlineStr"/>
      <c r="D65" s="2" t="inlineStr">
        <is>
          <t>elta.lt</t>
        </is>
      </c>
      <c r="E65" s="8" t="n">
        <v>46057</v>
      </c>
      <c r="F65" s="2" t="inlineStr">
        <is>
          <t>Praėjusiais metais EAM sėkmingai uždarė pirmąjį gyvenamosios paskirties NT vystymo fondą „Eika Residential Fund“. Vidutinė metinė grąža, atskaičius valdymo ir sėkmės mokesčius, siekė 31,37 % ir viršijo investuotojų lūkesčius.</t>
        </is>
      </c>
      <c r="G65" s="2" t="n">
        <v>9121</v>
      </c>
      <c r="H65" s="2" t="n"/>
      <c r="I65" s="2" t="n"/>
      <c r="J65" s="2" t="n"/>
      <c r="K65" s="2" t="n"/>
      <c r="L65" s="2" t="inlineStr"/>
      <c r="M65" s="2" t="inlineStr"/>
      <c r="N65" s="2" t="inlineStr">
        <is>
          <t>Lithuania</t>
        </is>
      </c>
      <c r="O65" s="7" t="n">
        <v>84.37</v>
      </c>
      <c r="P65" s="2" t="n">
        <v>44</v>
      </c>
      <c r="Q65" s="2" t="n"/>
    </row>
    <row r="66">
      <c r="A66" s="2" t="inlineStr">
        <is>
          <t>В столице стартовал проект жилого квартала стоимостью более 60 млн евро</t>
        </is>
      </c>
      <c r="B66" s="2">
        <f>HYPERLINK("https://www.delfi.lt/ru/news/economy/v-stolice-startoval-proekt-zhilogo-kvartala-stoimostyu-bolee-60-mln-evro-120207225")</f>
        <v/>
      </c>
      <c r="C66" s="2" t="inlineStr"/>
      <c r="D66" s="2" t="inlineStr">
        <is>
          <t>DELFI Lithuania</t>
        </is>
      </c>
      <c r="E66" s="8" t="n">
        <v>46056.97996527778</v>
      </c>
      <c r="F66" s="2" t="inlineStr">
        <is>
          <t>Управление строительством и продажей проекта будет осуществляться компанией по управлению проектами в сфере недвижимости EIKA Development.
KŪB Partnership Fund II – седьмой фонд, созданный EAM, основное направление инвестиций которого – развитие многоквартирных жилых проектов в Вильнюсе.</t>
        </is>
      </c>
      <c r="G66" s="2" t="n">
        <v>1878795</v>
      </c>
      <c r="H66" s="2" t="n"/>
      <c r="I66" s="2" t="n"/>
      <c r="J66" s="2" t="n"/>
      <c r="K66" s="2" t="n"/>
      <c r="L66" s="2" t="inlineStr">
        <is>
          <t>Vilnius</t>
        </is>
      </c>
      <c r="M66" s="2" t="inlineStr"/>
      <c r="N66" s="2" t="inlineStr">
        <is>
          <t>Lithuania</t>
        </is>
      </c>
      <c r="O66" s="7" t="n">
        <v>9393.98</v>
      </c>
      <c r="P66" s="2" t="n">
        <v>82</v>
      </c>
      <c r="Q66" s="2" t="n"/>
    </row>
    <row r="67">
      <c r="A67" s="2" t="inlineStr">
        <is>
          <t>Glaustai: Lietuvos teisėsaugos tyrimas dėl Epsteino bylos, operacija prieš kontrabandą Šalčininkuose</t>
        </is>
      </c>
      <c r="B67" s="2">
        <f>HYPERLINK("https://kauno.diena.lt/naujienos/lietuva/salies-pulsas/glaustai-lietuvos-teisesaugos-tyrimas-del-epsteino-bylos-operacija-pries-kontrabanda-salcininkuose-1740656")</f>
        <v/>
      </c>
      <c r="C67" s="2" t="inlineStr"/>
      <c r="D67" s="2" t="inlineStr">
        <is>
          <t>Kauno diena</t>
        </is>
      </c>
      <c r="E67" s="8" t="n">
        <v>46056.75753472222</v>
      </c>
      <c r="F67" s="2" t="inlineStr">
        <is>
          <t>Pagrindinė festivalio mecenatė „Eika Group“ taip pat paskelbė svarstanti, ar šiemet rems „Midsummer Vilnius“ renginius.
Prezidentas Gitanas Nausėda sako, kad diplomatinių santykių atkūrimo su Kinija turi norėti abi pusės. Daliai valstybių normalizuojant santykius su Kinija, prezidentas G.</t>
        </is>
      </c>
      <c r="G67" s="2" t="n">
        <v>341490</v>
      </c>
      <c r="H67" s="2" t="n"/>
      <c r="I67" s="2" t="n"/>
      <c r="J67" s="2" t="n"/>
      <c r="K67" s="2" t="n"/>
      <c r="L67" s="2" t="inlineStr">
        <is>
          <t>Kaunas</t>
        </is>
      </c>
      <c r="M67" s="2" t="inlineStr"/>
      <c r="N67" s="2" t="inlineStr">
        <is>
          <t>Lithuania</t>
        </is>
      </c>
      <c r="O67" s="7" t="n">
        <v>3158.78</v>
      </c>
      <c r="P67" s="2" t="n">
        <v>58</v>
      </c>
      <c r="Q67" s="2" t="n"/>
    </row>
    <row r="68">
      <c r="A68" s="2" t="inlineStr">
        <is>
          <t>„EIKA Group“: ar tęsime bendradarbiavimą su „Midsummer Vilnius“ priklausys nuo jų akcininkų struktūros ir komandos sudėties</t>
        </is>
      </c>
      <c r="B68" s="2">
        <f>HYPERLINK("https://sc.bns.lt/view/item/eika-group-ar-tesime-bendradarbiavima-su-midsummer-vilnius-priklausys-nuo-ju-akcininku-strukturos-ir-komandos-sudeties-523338")</f>
        <v/>
      </c>
      <c r="C68" s="2" t="inlineStr"/>
      <c r="D68" s="2" t="inlineStr">
        <is>
          <t>Baltic News Service (Lithuania)</t>
        </is>
      </c>
      <c r="E68" s="8" t="n">
        <v>46056.62083333333</v>
      </c>
      <c r="F68" s="2" t="inlineStr">
        <is>
          <t>„EIKA Group“ jau devynerius metus iš eilės buvo pagrindinė festivalio „Midsummer Vilnius“ rėmėja. Ši ilgalaikė mecenatystė visada buvo sąmoningas mūsų įsipareigojimas prisidėti prie Vilniaus miesto kultūrinio gyvenimo puoselėjimo.</t>
        </is>
      </c>
      <c r="G68" s="2" t="n">
        <v>32397</v>
      </c>
      <c r="H68" s="2" t="n"/>
      <c r="I68" s="2" t="n"/>
      <c r="J68" s="2" t="n"/>
      <c r="K68" s="2" t="n"/>
      <c r="L68" s="2" t="inlineStr">
        <is>
          <t>Vilnius</t>
        </is>
      </c>
      <c r="M68" s="2" t="inlineStr"/>
      <c r="N68" s="2" t="inlineStr">
        <is>
          <t>Lithuania</t>
        </is>
      </c>
      <c r="O68" s="7" t="n">
        <v>299.67</v>
      </c>
      <c r="P68" s="2" t="n">
        <v>55</v>
      </c>
      <c r="Q68" s="2" t="n"/>
    </row>
    <row r="69">
      <c r="A69" s="2" t="inlineStr">
        <is>
          <t>ELTA glaustai: Lietuvos teisėsaugos tyrimas dėl J. Epsteino bylos ir operacija prieš kontrabandą Šalčininkuose</t>
        </is>
      </c>
      <c r="B69" s="2">
        <f>HYPERLINK("https://www.lrytas.lt/lietuvosdiena/aktualijos/2026/02/03/news/elta-glaustai-lietuvos-teisesaugos-tyrimas-del-j-epsteino-bylos-ir-operacija-pries-kontrabanda-salcininkuose-41207855")</f>
        <v/>
      </c>
      <c r="C69" s="2" t="inlineStr"/>
      <c r="D69" s="2" t="inlineStr">
        <is>
          <t>lrytas.lt</t>
        </is>
      </c>
      <c r="E69" s="8" t="n">
        <v>46056.50696759259</v>
      </c>
      <c r="F69" s="2" t="inlineStr">
        <is>
          <t>Pagrindinė festivalio mecenatė „Eika Group“ taip pat paskelbė svarstanti, ar šiemet rems „Midsummer Vilnius“ renginius.
Prezidentas Gitanas Nausėda sako, kad diplomatinių santykių atkūrimo su Kinija turi norėti abi pusės. Daliai valstybių normalizuojant santykius su Kinija, prezidentas G.</t>
        </is>
      </c>
      <c r="G69" s="2" t="n">
        <v>1072624</v>
      </c>
      <c r="H69" s="2" t="n"/>
      <c r="I69" s="2" t="n"/>
      <c r="J69" s="2" t="n"/>
      <c r="K69" s="2" t="n"/>
      <c r="L69" s="2" t="inlineStr"/>
      <c r="M69" s="2" t="inlineStr"/>
      <c r="N69" s="2" t="inlineStr">
        <is>
          <t>Lithuania</t>
        </is>
      </c>
      <c r="O69" s="7" t="n">
        <v>9921.77</v>
      </c>
      <c r="P69" s="2" t="n">
        <v>70</v>
      </c>
      <c r="Q69" s="2" t="n"/>
    </row>
    <row r="70">
      <c r="A70" s="2" t="inlineStr">
        <is>
          <t>ELTA glaustai: tyrimas dėl Epsteino failų ir operacija prieš kontrabandą Šalčininkuose</t>
        </is>
      </c>
      <c r="B70" s="2">
        <f>HYPERLINK("https://www.delfi.lt/naujienos/lietuvoje/elta-glaustai-tyrimas-del-epsteino-failu-ir-operacija-pries-kontrabanda-salcininkuose-120207196")</f>
        <v/>
      </c>
      <c r="C70" s="2" t="inlineStr">
        <is>
          <t>Ekaterina Khvashchynskaya, Valentyn Ogirenko</t>
        </is>
      </c>
      <c r="D70" s="2" t="inlineStr">
        <is>
          <t>DELFI Lithuania</t>
        </is>
      </c>
      <c r="E70" s="8" t="n">
        <v>46056.48957175926</v>
      </c>
      <c r="F70" s="2" t="inlineStr">
        <is>
          <t>Pagrindinė festivalio mecenatė „Eika Group“ taip pat paskelbė svarstanti, ar šiemet rems „Midsummer Vilnius“ renginius.
Prezidentas Gitanas Nausėda sako, kad diplomatinių santykių atkūrimo su Kinija turi norėti abi pusės. Daliai valstybių normalizuojant santykius su Kinija, prezidentas G.</t>
        </is>
      </c>
      <c r="G70" s="2" t="n">
        <v>1878795</v>
      </c>
      <c r="H70" s="2" t="n">
        <v>0</v>
      </c>
      <c r="I70" s="2" t="n">
        <v>0</v>
      </c>
      <c r="J70" s="2" t="n">
        <v>1</v>
      </c>
      <c r="K70" s="2" t="n"/>
      <c r="L70" s="2" t="inlineStr">
        <is>
          <t>Vilnius</t>
        </is>
      </c>
      <c r="M70" s="2" t="inlineStr"/>
      <c r="N70" s="2" t="inlineStr">
        <is>
          <t>Lithuania</t>
        </is>
      </c>
      <c r="O70" s="7" t="n">
        <v>9393.98</v>
      </c>
      <c r="P70" s="2" t="n">
        <v>82</v>
      </c>
      <c r="Q70" s="2" t="n"/>
    </row>
    <row r="71">
      <c r="A71" s="2" t="inlineStr">
        <is>
          <t>„EIKA Construction“ apyvarta per metus augo 70 proc. iki 71,2 mln. eurų</t>
        </is>
      </c>
      <c r="B71" s="2">
        <f>HYPERLINK("https://www.delfi.lt/projektai/elta/eika-construction-apyvarta-per-metus-augo-70-proc-iki-71-2-mln-euru-120207149")</f>
        <v/>
      </c>
      <c r="C71" s="2" t="inlineStr"/>
      <c r="D71" s="2" t="inlineStr">
        <is>
          <t>DELFI Lithuania</t>
        </is>
      </c>
      <c r="E71" s="8" t="n">
        <v>46056.42113425926</v>
      </c>
      <c r="F71" s="2" t="inlineStr">
        <is>
          <t>.“, – pranešime teigia „EIKA Construction“ vadovas Almantas Čebanauskas.
Bendrovė praėjusiais metais baigė apie 50 mln. eurų vertės Vilniaus oro uosto išvykimo terminalo ir taip pat beveik 50 mln. eurų vertės Vilniaus universiteto Medicinos fakulteto Medicinos mokslo centro statybas.</t>
        </is>
      </c>
      <c r="G71" s="2" t="n">
        <v>1878795</v>
      </c>
      <c r="H71" s="2" t="n"/>
      <c r="I71" s="2" t="n"/>
      <c r="J71" s="2" t="n"/>
      <c r="K71" s="2" t="n"/>
      <c r="L71" s="2" t="inlineStr">
        <is>
          <t>Vilnius</t>
        </is>
      </c>
      <c r="M71" s="2" t="inlineStr"/>
      <c r="N71" s="2" t="inlineStr">
        <is>
          <t>Lithuania</t>
        </is>
      </c>
      <c r="O71" s="7" t="n">
        <v>9393.98</v>
      </c>
      <c r="P71" s="2" t="n">
        <v>82</v>
      </c>
      <c r="Q71" s="2" t="n"/>
    </row>
    <row r="72">
      <c r="A72" s="2" t="inlineStr">
        <is>
          <t>„EIKA Construction“ apyvarta per metus augo 70 proc. iki 71,2 mln. eurų</t>
        </is>
      </c>
      <c r="B72" s="2">
        <f>HYPERLINK("https://www.lrytas.lt/verslas/rinkos-pulsas/2026/02/03/news/-eika-construction-apyvarta-per-metus-augo-70-proc-iki-71-2-mln-euru-41204876")</f>
        <v/>
      </c>
      <c r="C72" s="2" t="inlineStr"/>
      <c r="D72" s="2" t="inlineStr">
        <is>
          <t>lrytas.lt</t>
        </is>
      </c>
      <c r="E72" s="8" t="n">
        <v>46056.41725694444</v>
      </c>
      <c r="F72" s="2" t="inlineStr">
        <is>
          <t>.“, – pranešime teigia „EIKA Construction“ vadovas Almantas Čebanauskas.
Bendrovė praėjusiais metais baigė apie 50 mln. eurų vertės Vilniaus oro uosto išvykimo terminalo ir taip pat beveik 50 mln. eurų vertės Vilniaus universiteto Medicinos fakulteto Medicinos mokslo centro statybas.</t>
        </is>
      </c>
      <c r="G72" s="2" t="n">
        <v>1072624</v>
      </c>
      <c r="H72" s="2" t="n"/>
      <c r="I72" s="2" t="n"/>
      <c r="J72" s="2" t="n"/>
      <c r="K72" s="2" t="n"/>
      <c r="L72" s="2" t="inlineStr"/>
      <c r="M72" s="2" t="inlineStr"/>
      <c r="N72" s="2" t="inlineStr">
        <is>
          <t>Lithuania</t>
        </is>
      </c>
      <c r="O72" s="7" t="n">
        <v>9921.77</v>
      </c>
      <c r="P72" s="2" t="n">
        <v>70</v>
      </c>
      <c r="Q72" s="2" t="n"/>
    </row>
    <row r="73">
      <c r="A73" s="2" t="inlineStr">
        <is>
          <t>„EIKA Group“: ar tęsime bendradarbiavimą su „Midsummer Vilnius“ priklausys nuo jų akcininkų struktūros ir komandos sudėties</t>
        </is>
      </c>
      <c r="B73" s="2">
        <f>HYPERLINK("https://www.15min.lt/verslas/naujiena/bns-spaudos-centras/eika-group-ar-tesime-bendradarbiavima-su-midsummer-vilnius-priklausys-nuo-ju-akcininku-strukturos-ir-komandos-sudeties-523338")</f>
        <v/>
      </c>
      <c r="C73" s="2" t="inlineStr"/>
      <c r="D73" s="2" t="inlineStr">
        <is>
          <t>15min</t>
        </is>
      </c>
      <c r="E73" s="8" t="n">
        <v>46056.41248842593</v>
      </c>
      <c r="F73" s="2" t="inlineStr">
        <is>
          <t>„EIKA Group“ nenori, kad jos vardas, tiesiogiai ar netiesiogiai, būtų siejamas su tokio pobūdžio situacijomis.
Žinome, kad pasitraukus Valdui Petreikiui festivalio organizatoriai planuoja pokyčius. Mūsų tolimesnis bendradarbiavimas priklausys nuo akcininkų struktūros ir komandos sudėties.</t>
        </is>
      </c>
      <c r="G73" s="2" t="n">
        <v>1426746</v>
      </c>
      <c r="H73" s="2" t="n"/>
      <c r="I73" s="2" t="n"/>
      <c r="J73" s="2" t="n"/>
      <c r="K73" s="2" t="n"/>
      <c r="L73" s="2" t="inlineStr">
        <is>
          <t>Vilnius</t>
        </is>
      </c>
      <c r="M73" s="2" t="inlineStr">
        <is>
          <t>Vilniaus Apskritis</t>
        </is>
      </c>
      <c r="N73" s="2" t="inlineStr">
        <is>
          <t>Lithuania</t>
        </is>
      </c>
      <c r="O73" s="7" t="n">
        <v>13197.4</v>
      </c>
      <c r="P73" s="2" t="n">
        <v>73</v>
      </c>
      <c r="Q73" s="2" t="n"/>
    </row>
    <row r="74">
      <c r="A74" s="2" t="inlineStr">
        <is>
          <t>Statybunaujienos.lt - Nauji darbo užmokesčio skaidrumo reikalavimai: kodėl darbdaviams verta ruoštis jau dabar</t>
        </is>
      </c>
      <c r="B74" s="2">
        <f>HYPERLINK("https://www.statybunaujienos.lt/naujiena/Nauji-darbo-uzmokescio-skaidrumo-reikalavimai-kodel-darbdaviams-verta-ruostis-jau-dabar/26038")</f>
        <v/>
      </c>
      <c r="C74" s="2" t="inlineStr"/>
      <c r="D74" s="2" t="inlineStr">
        <is>
          <t>statybunaujienos.lt</t>
        </is>
      </c>
      <c r="E74" s="8" t="n">
        <v>46056.40752314815</v>
      </c>
      <c r="F74" s="2" t="inlineStr">
        <is>
          <t>„EIKA Development“, pardavusi 94 butus, užėmė rekordiškai didelę – 15 proc. – rinkos dalį.</t>
        </is>
      </c>
      <c r="G74" s="2" t="n">
        <v>5370</v>
      </c>
      <c r="H74" s="2" t="n"/>
      <c r="I74" s="2" t="n"/>
      <c r="J74" s="2" t="n"/>
      <c r="K74" s="2" t="n"/>
      <c r="L74" s="2" t="inlineStr"/>
      <c r="M74" s="2" t="inlineStr"/>
      <c r="N74" s="2" t="inlineStr">
        <is>
          <t>Lithuania</t>
        </is>
      </c>
      <c r="O74" s="7" t="n">
        <v>49.67</v>
      </c>
      <c r="P74" s="2" t="n">
        <v>27</v>
      </c>
      <c r="Q74" s="2" t="n"/>
    </row>
    <row r="75">
      <c r="A75" s="2" t="inlineStr">
        <is>
          <t>Valdovų rūmų muziejus atsiriboja nuo „Midsummer Vilnius“: rėmėjas sprendimo dar nepriėmė</t>
        </is>
      </c>
      <c r="B75" s="2">
        <f>HYPERLINK("https://www.lrt.lt/naujienos/kultura/12/2826258/valdovu-rumu-muziejus-atsiriboja-nuo-midsummer-vilnius-remejas-sprendimo-dar-neprieme")</f>
        <v/>
      </c>
      <c r="C75" s="2" t="inlineStr"/>
      <c r="D75" s="2" t="inlineStr">
        <is>
          <t>Lithuanian National Radio and Television (LRT)</t>
        </is>
      </c>
      <c r="E75" s="8" t="n">
        <v>46056.37267361111</v>
      </c>
      <c r="F75" s="2" t="inlineStr">
        <is>
          <t>Pagrindinis festivalio rėmėjas „EIKA Group“ spręs, ar toliau liks pagrindine „Midsummer Vilnius“ rėmėja.
„Nematome galimybių tęsti šio festivalio. Šį etapą uždarome, – sako Valdovų rūmų muziejaus generalinis direktorius dr.</t>
        </is>
      </c>
      <c r="G75" s="2" t="n">
        <v>1529307</v>
      </c>
      <c r="H75" s="2" t="n"/>
      <c r="I75" s="2" t="n"/>
      <c r="J75" s="2" t="n"/>
      <c r="K75" s="2" t="n"/>
      <c r="L75" s="2" t="inlineStr">
        <is>
          <t>Vilnius</t>
        </is>
      </c>
      <c r="M75" s="2" t="inlineStr">
        <is>
          <t>Vilniaus Apskritis</t>
        </is>
      </c>
      <c r="N75" s="2" t="inlineStr">
        <is>
          <t>Lithuania</t>
        </is>
      </c>
      <c r="O75" s="7" t="n">
        <v>14146.09</v>
      </c>
      <c r="P75" s="2" t="n">
        <v>68</v>
      </c>
      <c r="Q75" s="2" t="n"/>
    </row>
    <row r="76">
      <c r="A76" s="2" t="inlineStr">
        <is>
          <t>„Eika Construction“ šiemet tikisi auginti apyvartą ir viršyti 100 milijonų eurų</t>
        </is>
      </c>
      <c r="B76" s="2">
        <f>HYPERLINK("https://www.lrt.lt/naujienos/verslas/4/2826265/eika-construction-siemet-tikisi-auginti-apyvarta-ir-virsyti-100-milijonu-euru")</f>
        <v/>
      </c>
      <c r="C76" s="2" t="inlineStr"/>
      <c r="D76" s="2" t="inlineStr">
        <is>
          <t>Lithuanian National Radio and Television (LRT)</t>
        </is>
      </c>
      <c r="E76" s="8" t="n">
        <v>46056.36040509259</v>
      </c>
      <c r="F76" s="2" t="inlineStr">
        <is>
          <t xml:space="preserve">Nekilnojamojo turto (NT) plėtros grupės „Eika Group“ valdoma įmonė „Eika Construction“ šiais metais planuoja apyvartą auginti mažiausiai 40 proc. bei viršyti 100 mln. eurų, antradienį skelbia bendrovė. </t>
        </is>
      </c>
      <c r="G76" s="2" t="n">
        <v>1529307</v>
      </c>
      <c r="H76" s="2" t="n"/>
      <c r="I76" s="2" t="n"/>
      <c r="J76" s="2" t="n"/>
      <c r="K76" s="2" t="n"/>
      <c r="L76" s="2" t="inlineStr">
        <is>
          <t>Vilnius</t>
        </is>
      </c>
      <c r="M76" s="2" t="inlineStr">
        <is>
          <t>Vilniaus Apskritis</t>
        </is>
      </c>
      <c r="N76" s="2" t="inlineStr">
        <is>
          <t>Lithuania</t>
        </is>
      </c>
      <c r="O76" s="7" t="n">
        <v>14146.09</v>
      </c>
      <c r="P76" s="2" t="n">
        <v>68</v>
      </c>
      <c r="Q76" s="2" t="n"/>
    </row>
    <row r="77">
      <c r="A77" s="2" t="inlineStr">
        <is>
          <t>Po kilusio skandalo dėl J. Epsteino failų pasisakė ir pagrindinė „Midsummer Vilnius“ rėmėja</t>
        </is>
      </c>
      <c r="B77" s="2">
        <f>HYPERLINK("https://www.lrytas.lt/verslas/rinkos-pulsas/2026/02/03/news/po-kilusio-skandalo-del-j-epsteino-failu-pasisake-ir-pagrindine-midsummer-vilnius-remeja-41202950")</f>
        <v/>
      </c>
      <c r="C77" s="2" t="inlineStr"/>
      <c r="D77" s="2" t="inlineStr">
        <is>
          <t>lrytas.lt</t>
        </is>
      </c>
      <c r="E77" s="8" t="n">
        <v>46056.36035879629</v>
      </c>
      <c r="F77" s="2" t="inlineStr">
        <is>
          <t>„EIKA Group“ nenori, kad jos vardas, tiesiogiai ar netiesiogiai, būtų siejamas su tokio pobūdžio situacijomis“, – dėsto „EIKA group“ atstovai.
Jie tęsia, kad jiems žinoma, kad pasitraukus Valdui Petreikiui festivalio organizatoriai planuoja pokyčius.</t>
        </is>
      </c>
      <c r="G77" s="2" t="n">
        <v>1072624</v>
      </c>
      <c r="H77" s="2" t="n"/>
      <c r="I77" s="2" t="n"/>
      <c r="J77" s="2" t="n"/>
      <c r="K77" s="2" t="n"/>
      <c r="L77" s="2" t="inlineStr"/>
      <c r="M77" s="2" t="inlineStr"/>
      <c r="N77" s="2" t="inlineStr">
        <is>
          <t>Lithuania</t>
        </is>
      </c>
      <c r="O77" s="7" t="n">
        <v>9921.77</v>
      </c>
      <c r="P77" s="2" t="n">
        <v>70</v>
      </c>
      <c r="Q77" s="2" t="n"/>
    </row>
    <row r="78">
      <c r="A78" s="2" t="inlineStr">
        <is>
          <t>Pagrindinė „Midsummer Vilnius“ mecenatė „Eika Group“ atsakė, ar toliau rems festivalį</t>
        </is>
      </c>
      <c r="B78" s="2">
        <f>HYPERLINK("https://www.15min.lt/verslas/naujiena/bendroves/eika-group-ar-tesime-bendradarbiavima-su-midsummer-vilnius-lems-akcininku-struktura-663-2614380")</f>
        <v/>
      </c>
      <c r="C78" s="2" t="inlineStr"/>
      <c r="D78" s="2" t="inlineStr">
        <is>
          <t>15min</t>
        </is>
      </c>
      <c r="E78" s="8" t="n">
        <v>46056.35445601852</v>
      </c>
      <c r="F78" s="2" t="inlineStr">
        <is>
          <t>„EIKA Group“ nenori, kad jos vardas, tiesiogiai ar netiesiogiai, būtų siejamas su tokio pobūdžio situacijomis“, – rašoma pranešime spaudai.
Įmonės komanda teigia, kad jai žinoma, jog pasitraukus Valdui Petreikiui festivalio organizatoriai planuoja pokyčius.</t>
        </is>
      </c>
      <c r="G78" s="2" t="n">
        <v>1426746</v>
      </c>
      <c r="H78" s="2" t="n"/>
      <c r="I78" s="2" t="n"/>
      <c r="J78" s="2" t="n"/>
      <c r="K78" s="2" t="n"/>
      <c r="L78" s="2" t="inlineStr">
        <is>
          <t>Vilnius</t>
        </is>
      </c>
      <c r="M78" s="2" t="inlineStr">
        <is>
          <t>Vilniaus Apskritis</t>
        </is>
      </c>
      <c r="N78" s="2" t="inlineStr">
        <is>
          <t>Lithuania</t>
        </is>
      </c>
      <c r="O78" s="7" t="n">
        <v>13197.4</v>
      </c>
      <c r="P78" s="2" t="n">
        <v>73</v>
      </c>
      <c r="Q78" s="2" t="n"/>
    </row>
    <row r="79">
      <c r="A79" s="2" t="inlineStr">
        <is>
          <t>EIKA Group“ bendradarbiavimas su „Midsummer Vilnius“ priklausys nuo akcininkų ir komandos sudėties</t>
        </is>
      </c>
      <c r="B79" s="2">
        <f>HYPERLINK("https://www.tv3.lt/naujiena/lietuva/eika-group-bendradarbiavimas-su-midsummer-vilnius-priklausys-nuo-akcininku-ir-komandos-sudeties-n1491388")</f>
        <v/>
      </c>
      <c r="C79" s="2" t="inlineStr">
        <is>
          <t>Augustina Kizelytė</t>
        </is>
      </c>
      <c r="D79" s="2" t="inlineStr">
        <is>
          <t>TV3 Lithuania</t>
        </is>
      </c>
      <c r="E79" s="8" t="n">
        <v>46056.33758101852</v>
      </c>
      <c r="F79" s="2" t="inlineStr">
        <is>
          <t>„EIKA Group“ nenori, kad jos vardas, tiesiogiai ar netiesiogiai, būtų siejamas su tokio pobūdžio situacijomis.
Pasitraukus Petreikiui organizatoriai planuoja pokyčiai
Žinome, kad pasitraukus Valdui Petreikiui festivalio organizatoriai planuoja pokyčius.</t>
        </is>
      </c>
      <c r="G79" s="2" t="n">
        <v>1240858</v>
      </c>
      <c r="H79" s="2" t="n"/>
      <c r="I79" s="2" t="n"/>
      <c r="J79" s="2" t="n"/>
      <c r="K79" s="2" t="n"/>
      <c r="L79" s="2" t="inlineStr">
        <is>
          <t>Vilnius</t>
        </is>
      </c>
      <c r="M79" s="2" t="inlineStr"/>
      <c r="N79" s="2" t="inlineStr">
        <is>
          <t>Lithuania</t>
        </is>
      </c>
      <c r="O79" s="7" t="n">
        <v>11477.94</v>
      </c>
      <c r="P79" s="2" t="n">
        <v>60</v>
      </c>
      <c r="Q79" s="2" t="n"/>
    </row>
    <row r="80">
      <c r="A80" s="2" t="inlineStr">
        <is>
          <t>Dėl Epsteino failų skandalo pasisakė ir pagrindinė „Midsummer Vilnius“ rėmėja „Eika Group“</t>
        </is>
      </c>
      <c r="B80" s="2">
        <f>HYPERLINK("https://www.delfi.lt/verslas/naujienos/del-epsteino-failu-skandalo-pasisake-ir-pagrindine-midsummer-vilnius-remeja-eika-group-120207028")</f>
        <v/>
      </c>
      <c r="C80" s="2" t="inlineStr">
        <is>
          <t>Kornelija Mykolaitytė</t>
        </is>
      </c>
      <c r="D80" s="2" t="inlineStr">
        <is>
          <t>DELFI Lithuania</t>
        </is>
      </c>
      <c r="E80" s="8" t="n">
        <v>46056.33418981481</v>
      </c>
      <c r="F80" s="2" t="inlineStr">
        <is>
          <t>Pastaruosius devynerius metus pagrindinė „Midsummer Vilnius“ festivalio rėmėja buvo įmonė „Eika Group“. Ji pakomentavo tolimesnius veiksmus.</t>
        </is>
      </c>
      <c r="G80" s="2" t="n">
        <v>1878795</v>
      </c>
      <c r="H80" s="2" t="n"/>
      <c r="I80" s="2" t="n"/>
      <c r="J80" s="2" t="n"/>
      <c r="K80" s="2" t="n"/>
      <c r="L80" s="2" t="inlineStr">
        <is>
          <t>Vilnius</t>
        </is>
      </c>
      <c r="M80" s="2" t="inlineStr"/>
      <c r="N80" s="2" t="inlineStr">
        <is>
          <t>Lithuania</t>
        </is>
      </c>
      <c r="O80" s="7" t="n">
        <v>9393.98</v>
      </c>
      <c r="P80" s="2" t="n">
        <v>82</v>
      </c>
      <c r="Q80" s="2" t="n"/>
    </row>
    <row r="81">
      <c r="A81" s="2" t="inlineStr">
        <is>
          <t>„Eika Construction“ šiemet tikisi auginti apyvartą mažiausiai 40 proc. iki daugiau nei 100 mln. eurų</t>
        </is>
      </c>
      <c r="B81" s="2">
        <f>HYPERLINK("https://www.15min.lt/verslas/naujiena/finansai/eika-construction-siemet-tikisi-auginti-apyvarta-maziausiai-40-proc-iki-daugiau-nei-100-mln-euru-662-2614358")</f>
        <v/>
      </c>
      <c r="C81" s="2" t="inlineStr"/>
      <c r="D81" s="2" t="inlineStr">
        <is>
          <t>15min</t>
        </is>
      </c>
      <c r="E81" s="8" t="n">
        <v>46056.3321412037</v>
      </c>
      <c r="F81" s="2" t="inlineStr">
        <is>
          <t>„Eika Construction“ teigimu, jos apyvarta pernai augo 70 proc. iki 71,2 mln. eurų (užpernai – 41,6 mln. eurų).
„(2025-ieji – BNS) Iš dalies ir lūžio metai. 2025 metų pradžioje suplanavome didelį augimą ir šį tikslą įgyvendinome su kaupu“, – sakė „Eikos Construction“ vadovas Almantas Čebanauskas.</t>
        </is>
      </c>
      <c r="G81" s="2" t="n">
        <v>1426746</v>
      </c>
      <c r="H81" s="2" t="n"/>
      <c r="I81" s="2" t="n"/>
      <c r="J81" s="2" t="n"/>
      <c r="K81" s="2" t="n"/>
      <c r="L81" s="2" t="inlineStr">
        <is>
          <t>Vilnius</t>
        </is>
      </c>
      <c r="M81" s="2" t="inlineStr">
        <is>
          <t>Vilniaus Apskritis</t>
        </is>
      </c>
      <c r="N81" s="2" t="inlineStr">
        <is>
          <t>Lithuania</t>
        </is>
      </c>
      <c r="O81" s="7" t="n">
        <v>13197.4</v>
      </c>
      <c r="P81" s="2" t="n">
        <v>73</v>
      </c>
      <c r="Q81" s="2" t="n"/>
    </row>
    <row r="82">
      <c r="A82" s="2" t="inlineStr">
        <is>
          <t>„Eika Construction“ tikisi proveržio metų: apyvarta turėtų viršyti 100 mln. eurų</t>
        </is>
      </c>
      <c r="B82" s="2">
        <f>HYPERLINK("https://www.tv3.lt/naujiena/verslas/eika-construction-tikisi-proverzio-metu-apyvarta-turetu-virsyti-100-mln-euru-n1491379")</f>
        <v/>
      </c>
      <c r="C82" s="2" t="inlineStr">
        <is>
          <t>Augustina Kizelytė</t>
        </is>
      </c>
      <c r="D82" s="2" t="inlineStr">
        <is>
          <t>TV3 Lithuania</t>
        </is>
      </c>
      <c r="E82" s="8" t="n">
        <v>46056.32197916666</v>
      </c>
      <c r="F82" s="2" t="inlineStr">
        <is>
          <t>„Eika Construction“ teigimu, jos apyvarta pernai augo 70 proc. iki 71,2 mln. eurų (užpernai – 41,6 mln. eurų).
Daugiabučiai namai sostinėje
(29 nuotr.)</t>
        </is>
      </c>
      <c r="G82" s="2" t="n">
        <v>1240858</v>
      </c>
      <c r="H82" s="2" t="n"/>
      <c r="I82" s="2" t="n"/>
      <c r="J82" s="2" t="n"/>
      <c r="K82" s="2" t="n"/>
      <c r="L82" s="2" t="inlineStr">
        <is>
          <t>Vilnius</t>
        </is>
      </c>
      <c r="M82" s="2" t="inlineStr"/>
      <c r="N82" s="2" t="inlineStr">
        <is>
          <t>Lithuania</t>
        </is>
      </c>
      <c r="O82" s="7" t="n">
        <v>11477.94</v>
      </c>
      <c r="P82" s="2" t="n">
        <v>60</v>
      </c>
      <c r="Q82" s="2" t="n"/>
    </row>
    <row r="83">
      <c r="A83" s="2" t="inlineStr">
        <is>
          <t>Statybunaujienos.lt - Numatytos lengvatinės paskolos elektros gamintojams, vystantiems saulės ir vėjo elektrines</t>
        </is>
      </c>
      <c r="B83" s="2">
        <f>HYPERLINK("https://www.statybunaujienos.lt/naujiena/Numatytos-lengvatines-paskolos-elektros-gamintojams-vystantiems-saules-ir-vejo-elektrines/26036")</f>
        <v/>
      </c>
      <c r="C83" s="2" t="inlineStr"/>
      <c r="D83" s="2" t="inlineStr">
        <is>
          <t>statybunaujienos.lt</t>
        </is>
      </c>
      <c r="E83" s="8" t="n">
        <v>46056.21537037037</v>
      </c>
      <c r="F83" s="2" t="inlineStr">
        <is>
          <t>„EIKA Development“, pardavusi 94 butus, užėmė rekordiškai didelę – 15 proc. – rinkos dalį.</t>
        </is>
      </c>
      <c r="G83" s="2" t="n">
        <v>5370</v>
      </c>
      <c r="H83" s="2" t="n">
        <v>0</v>
      </c>
      <c r="I83" s="2" t="n">
        <v>0</v>
      </c>
      <c r="J83" s="2" t="n">
        <v>0</v>
      </c>
      <c r="K83" s="2" t="n"/>
      <c r="L83" s="2" t="inlineStr"/>
      <c r="M83" s="2" t="inlineStr"/>
      <c r="N83" s="2" t="inlineStr">
        <is>
          <t>Lithuania</t>
        </is>
      </c>
      <c r="O83" s="7" t="n">
        <v>49.67</v>
      </c>
      <c r="P83" s="2" t="n">
        <v>27</v>
      </c>
      <c r="Q83" s="2" t="n"/>
    </row>
    <row r="84">
      <c r="A84" s="2" t="inlineStr">
        <is>
          <t>„Eika Construction“ 2026 m. planuoja viršyti 100 mln. Eur apyvartą</t>
        </is>
      </c>
      <c r="B84" s="2">
        <f>HYPERLINK("https://www.vz.lt/statyba-ir-nt/2026/02/03/eika-construction-2026-m-planuoja-virsyti-100-mln-eur-apyvarta-580143")</f>
        <v/>
      </c>
      <c r="C84" s="2" t="inlineStr">
        <is>
          <t>Evelina Povilaitytė</t>
        </is>
      </c>
      <c r="D84" s="2" t="inlineStr">
        <is>
          <t>Verslo Žinios</t>
        </is>
      </c>
      <c r="E84" s="8" t="n">
        <v>46056.20762731481</v>
      </c>
      <c r="F84" s="2" t="inlineStr">
        <is>
          <t>Almantas Čebanauskas, „Eika Construction“ direktorius. Juditos Grigelytės (VŽ) nuotr.
 Nekilnojamojo turto plėtros, statybų ir investicijų grupei „Eika Group“ priklausanti statybų bendrovė „Eika Construction“ 2025 m. pardavimo pajamas augino 70% iki 71,2 mln.</t>
        </is>
      </c>
      <c r="G84" s="2" t="n">
        <v>1213714</v>
      </c>
      <c r="H84" s="2" t="n"/>
      <c r="I84" s="2" t="n"/>
      <c r="J84" s="2" t="n"/>
      <c r="K84" s="2" t="n"/>
      <c r="L84" s="2" t="inlineStr">
        <is>
          <t>Vilnius</t>
        </is>
      </c>
      <c r="M84" s="2" t="inlineStr"/>
      <c r="N84" s="2" t="inlineStr">
        <is>
          <t>Lithuania</t>
        </is>
      </c>
      <c r="O84" s="7" t="n">
        <v>11226.85</v>
      </c>
      <c r="P84" s="2" t="n">
        <v>58</v>
      </c>
      <c r="Q84" s="2" t="n"/>
    </row>
    <row r="85">
      <c r="A85" s="2" t="inlineStr">
        <is>
          <t>„EIKA Construction“ 2025 m. komandą augino 50 %, o apyvartą - per 70 %, šiemet planuoja viršyti 100 mln. eurų</t>
        </is>
      </c>
      <c r="B85" s="2">
        <f>HYPERLINK("https://www.15min.lt/verslas/naujiena/bns-spaudos-centras/eika-construction-2025-m-komanda-augino-50-o-apyvarta-per-70-siemet-planuoja-virsyti-100-mln-euru-523276")</f>
        <v/>
      </c>
      <c r="C85" s="2" t="inlineStr"/>
      <c r="D85" s="2" t="inlineStr">
        <is>
          <t>15min</t>
        </is>
      </c>
      <c r="E85" s="8" t="n">
        <v>46056.08961805556</v>
      </c>
      <c r="F85" s="2" t="inlineStr">
        <is>
          <t>Tai leido užtikrinti nepertraukiamą darbų eigą ir laiku įgyvendinti projektus.“
„EIKA Construction“ pernai investavo į visų darbuotojų kompetencijų ugdymą – nuo administracijos iki statybos objektuose dirbančių specialistų ir darbininkų.</t>
        </is>
      </c>
      <c r="G85" s="2" t="n">
        <v>1426746</v>
      </c>
      <c r="H85" s="2" t="n">
        <v>0</v>
      </c>
      <c r="I85" s="2" t="n">
        <v>0</v>
      </c>
      <c r="J85" s="2" t="n">
        <v>0</v>
      </c>
      <c r="K85" s="2" t="n"/>
      <c r="L85" s="2" t="inlineStr">
        <is>
          <t>Vilnius</t>
        </is>
      </c>
      <c r="M85" s="2" t="inlineStr">
        <is>
          <t>Vilniaus Apskritis</t>
        </is>
      </c>
      <c r="N85" s="2" t="inlineStr">
        <is>
          <t>Lithuania</t>
        </is>
      </c>
      <c r="O85" s="7" t="n">
        <v>13197.4</v>
      </c>
      <c r="P85" s="2" t="n">
        <v>73</v>
      </c>
      <c r="Q85" s="2" t="n"/>
    </row>
    <row r="86">
      <c r="A86" s="2" t="inlineStr">
        <is>
          <t>2026 m. kartoja pernykštę butų pardavimo istoriją: vieniems reikia, kiti – skuba - Verslo žinios</t>
        </is>
      </c>
      <c r="B86" s="2">
        <f>HYPERLINK("https://www.vz.lt/statyba-ir-nt/2026/02/03/2026-m-kartoja-pernykste-butu-pardavimo-istorija-vieniems-reikia-kiti-skuba-580077")</f>
        <v/>
      </c>
      <c r="C86" s="2" t="inlineStr">
        <is>
          <t>Evelina Povilaitytė</t>
        </is>
      </c>
      <c r="D86" s="2" t="inlineStr">
        <is>
          <t>Verslo Žinios</t>
        </is>
      </c>
      <c r="E86" s="8" t="n">
        <v>46056.08461805555</v>
      </c>
      <c r="F86" s="2" t="inlineStr">
        <is>
          <t>Iš kairės: Arvydas Avulis, „Hanner“ valdybos pirmininkas, Tomas Žiaugra, „Eika Development“ plėtros direktorius, Marijonas Chmieliauskas, „Realco“ pardavimų direktorius, Ugnė Žiogelė, „Citus“ NT analitikė. VŽ koliažas.</t>
        </is>
      </c>
      <c r="G86" s="2" t="n">
        <v>1213714</v>
      </c>
      <c r="H86" s="2" t="n"/>
      <c r="I86" s="2" t="n"/>
      <c r="J86" s="2" t="n"/>
      <c r="K86" s="2" t="n"/>
      <c r="L86" s="2" t="inlineStr">
        <is>
          <t>Vilnius</t>
        </is>
      </c>
      <c r="M86" s="2" t="inlineStr"/>
      <c r="N86" s="2" t="inlineStr">
        <is>
          <t>Lithuania</t>
        </is>
      </c>
      <c r="O86" s="7" t="n">
        <v>11226.85</v>
      </c>
      <c r="P86" s="2" t="n">
        <v>58</v>
      </c>
      <c r="Q86" s="2" t="n"/>
    </row>
    <row r="87">
      <c r="A87" s="2" t="inlineStr">
        <is>
          <t>„EIKA Construction“ 2025 m. komandą augino 50 %, o apyvartą - per 70 %, šiemet planuoja viršyti 100 mln. eurų</t>
        </is>
      </c>
      <c r="B87" s="2">
        <f>HYPERLINK("https://sc.bns.lt/view/item/eika-construction-2025-m-komanda-augino-50-o-apyvarta-per-70-siemet-planuoja-virsyti-100-mln-euru-523276")</f>
        <v/>
      </c>
      <c r="C87" s="2" t="inlineStr"/>
      <c r="D87" s="2" t="inlineStr">
        <is>
          <t>Baltic News Service (Lithuania)</t>
        </is>
      </c>
      <c r="E87" s="8" t="n">
        <v>46056.06185185185</v>
      </c>
      <c r="F87" s="2" t="inlineStr">
        <is>
          <t>„EIKA Group“ statybų bendrovei „EIKA Construction“ 2025-ieji buvo stabilaus augimo ir mokymosi metai. Bendrovė apyvartą padidino iki 71,2 mln. eurų, o darbuotojų skaičius perkopė 170.</t>
        </is>
      </c>
      <c r="G87" s="2" t="n">
        <v>32397</v>
      </c>
      <c r="H87" s="2" t="n">
        <v>0</v>
      </c>
      <c r="I87" s="2" t="n">
        <v>0</v>
      </c>
      <c r="J87" s="2" t="n">
        <v>0</v>
      </c>
      <c r="K87" s="2" t="n"/>
      <c r="L87" s="2" t="inlineStr">
        <is>
          <t>Vilnius</t>
        </is>
      </c>
      <c r="M87" s="2" t="inlineStr"/>
      <c r="N87" s="2" t="inlineStr">
        <is>
          <t>Lithuania</t>
        </is>
      </c>
      <c r="O87" s="7" t="n">
        <v>299.67</v>
      </c>
      <c r="P87" s="2" t="n">
        <v>55</v>
      </c>
      <c r="Q87" s="2" t="n"/>
    </row>
    <row r="88">
      <c r="A88" s="2" t="inlineStr">
        <is>
          <t>„EIKA Group“: ar tęsime bendradarbiavimą su „Midsummer Vilnius“ priklausys nuo jų akcininkų struktūros ir komandos sudėties</t>
        </is>
      </c>
      <c r="B88" s="2">
        <f>HYPERLINK("https://www.elta.lt/lt/pranesimai-spaudai/eika-group-ar-tesime-bendradarbiavima-su-midsummer-vilnius-priklausys-nuo-ju-akcininku-strukturos-ir-komandos-sudeties-261297")</f>
        <v/>
      </c>
      <c r="C88" s="2" t="inlineStr"/>
      <c r="D88" s="2" t="inlineStr">
        <is>
          <t>elta.lt</t>
        </is>
      </c>
      <c r="E88" s="8" t="n">
        <v>46056</v>
      </c>
      <c r="F88" s="2" t="inlineStr">
        <is>
          <t>„EIKA Group“ jau devynerius metus iš eilės buvo pagrindinė festivalio „Midsummer Vilnius“ rėmėja. Ši ilgalaikė mecenatystė visada buvo sąmoningas mūsų įsipareigojimas prisidėti prie Vilniaus miesto kultūrinio gyvenimo puoselėjimo.</t>
        </is>
      </c>
      <c r="G88" s="2" t="n">
        <v>9121</v>
      </c>
      <c r="H88" s="2" t="n"/>
      <c r="I88" s="2" t="n"/>
      <c r="J88" s="2" t="n"/>
      <c r="K88" s="2" t="n"/>
      <c r="L88" s="2" t="inlineStr"/>
      <c r="M88" s="2" t="inlineStr"/>
      <c r="N88" s="2" t="inlineStr">
        <is>
          <t>Lithuania</t>
        </is>
      </c>
      <c r="O88" s="7" t="n">
        <v>84.37</v>
      </c>
      <c r="P88" s="2" t="n">
        <v>44</v>
      </c>
      <c r="Q88" s="2" t="n"/>
    </row>
    <row r="89">
      <c r="A89" s="2" t="inlineStr">
        <is>
          <t>„EIKA Construction“ 2025 m. komandą augino 50 %, o apyvartą – per 70 %, šiemet planuoja viršyti 100 mln. eurų</t>
        </is>
      </c>
      <c r="B89" s="2">
        <f>HYPERLINK("https://www.elta.lt/lt/pranesimai-spaudai/eika-construction-2025-m-komanda-augino-50-o-apyvarta-per-70-siemet-planuoja-virsyti-100-mln-euru-261263")</f>
        <v/>
      </c>
      <c r="C89" s="2" t="inlineStr"/>
      <c r="D89" s="2" t="inlineStr">
        <is>
          <t>elta.lt</t>
        </is>
      </c>
      <c r="E89" s="8" t="n">
        <v>46056</v>
      </c>
      <c r="F89" s="2" t="inlineStr">
        <is>
          <t>„EIKA Group“ statybų bendrovei „EIKA Construction“ 2025-ieji buvo stabilaus augimo ir mokymosi metai. Bendrovė apyvartą padidino iki 71,2 mln. eurų, o darbuotojų skaičius perkopė 170.</t>
        </is>
      </c>
      <c r="G89" s="2" t="n">
        <v>9121</v>
      </c>
      <c r="H89" s="2" t="n"/>
      <c r="I89" s="2" t="n"/>
      <c r="J89" s="2" t="n"/>
      <c r="K89" s="2" t="n"/>
      <c r="L89" s="2" t="inlineStr"/>
      <c r="M89" s="2" t="inlineStr"/>
      <c r="N89" s="2" t="inlineStr">
        <is>
          <t>Lithuania</t>
        </is>
      </c>
      <c r="O89" s="7" t="n">
        <v>84.37</v>
      </c>
      <c r="P89" s="2" t="n">
        <v>44</v>
      </c>
      <c r="Q89" s="2" t="n"/>
    </row>
    <row r="90">
      <c r="A90" s="2" t="inlineStr">
        <is>
          <t>Kodėl sutelktinis finansavimas NT vystytojams leidžia uždirbti daugiau?</t>
        </is>
      </c>
      <c r="B90" s="2">
        <f>HYPERLINK("https://www.vz.lt/statyba-ir-nt/2026/02/03/kodel-sutelktinis-finansavimas-nt-vystytojams-leidzia-uzdirbti-daugiau-580102")</f>
        <v/>
      </c>
      <c r="C90" s="2" t="inlineStr"/>
      <c r="D90" s="2" t="inlineStr">
        <is>
          <t>Verslo Žinios</t>
        </is>
      </c>
      <c r="E90" s="8" t="n">
        <v>46055.94791666666</v>
      </c>
      <c r="F90" s="2" t="inlineStr">
        <is>
          <t>„Röntgen“ vadovas Martynas Stankevičius komentuoja, kad stereotipas apie „bankams per prastus projektus“ jau yra senokai užmarštyje, o sutelktiniu finansavimu naudojasi įvairaus dydžio vystytojai, įskaitant tokius rinkos lyderius kaip „Rinvest“, „Eika Group“, „SBA Urban“, „Citus“, „Realco“, „NordSpace</t>
        </is>
      </c>
      <c r="G90" s="2" t="n">
        <v>1213714</v>
      </c>
      <c r="H90" s="2" t="n">
        <v>0</v>
      </c>
      <c r="I90" s="2" t="n">
        <v>0</v>
      </c>
      <c r="J90" s="2" t="n">
        <v>0</v>
      </c>
      <c r="K90" s="2" t="n"/>
      <c r="L90" s="2" t="inlineStr">
        <is>
          <t>Vilnius</t>
        </is>
      </c>
      <c r="M90" s="2" t="inlineStr"/>
      <c r="N90" s="2" t="inlineStr">
        <is>
          <t>Lithuania</t>
        </is>
      </c>
      <c r="O90" s="7" t="n">
        <v>11226.85</v>
      </c>
      <c r="P90" s="2" t="n">
        <v>58</v>
      </c>
      <c r="Q90" s="2" t="n"/>
    </row>
    <row r="91">
      <c r="A91" s="2" t="inlineStr">
        <is>
          <t>Suomija - Laboratoriniai reagentai - Tietopyyntö / Höyryautoklaavi elatusaineiden sekä liuosten ja nesteputkien sterilointiin.</t>
        </is>
      </c>
      <c r="B91" s="2">
        <f>HYPERLINK("https://lrvalstybe.lt/es-nato-pirkimai/4815913")</f>
        <v/>
      </c>
      <c r="C91" s="2" t="inlineStr"/>
      <c r="D91" s="2" t="inlineStr">
        <is>
          <t>lrvalstybe.lt</t>
        </is>
      </c>
      <c r="E91" s="8" t="n">
        <v>46055.88959490741</v>
      </c>
      <c r="F91" s="2" t="inlineStr">
        <is>
          <t>Tämä tietopyyntö ei ole hankintailmoitus, ennakkoilmoitus eikä tarjouspyyntö, eikä ilmoituksen julkaisemisella aloiteta tarjouskilpailua.</t>
        </is>
      </c>
      <c r="G91" s="2" t="n">
        <v>64270</v>
      </c>
      <c r="H91" s="2" t="n"/>
      <c r="I91" s="2" t="n"/>
      <c r="J91" s="2" t="n"/>
      <c r="K91" s="2" t="n"/>
      <c r="L91" s="2" t="inlineStr"/>
      <c r="M91" s="2" t="inlineStr"/>
      <c r="N91" s="2" t="inlineStr">
        <is>
          <t>Lithuania</t>
        </is>
      </c>
      <c r="O91" s="7" t="n">
        <v>594.5</v>
      </c>
      <c r="P91" s="2" t="n">
        <v>35</v>
      </c>
      <c r="Q91" s="2" t="n"/>
    </row>
    <row r="92">
      <c r="A92" s="2" t="inlineStr">
        <is>
          <t>Suomija - Spausdinimo ir susijusios paslaugos - Tietopyyntö ja kutsu markkinavuoropuheluun: Vantaan asukaslehden painotyön ja jakelun hankinta</t>
        </is>
      </c>
      <c r="B92" s="2">
        <f>HYPERLINK("https://lrvalstybe.lt/es-nato-pirkimai/4815281")</f>
        <v/>
      </c>
      <c r="C92" s="2" t="inlineStr"/>
      <c r="D92" s="2" t="inlineStr">
        <is>
          <t>lrvalstybe.lt</t>
        </is>
      </c>
      <c r="E92" s="8" t="n">
        <v>46055.88442129629</v>
      </c>
      <c r="F92" s="2" t="inlineStr">
        <is>
          <t>Pyydämme halukkaita ilmoittautumaan markkinavuoropuheluun 13.2.2026 klo 11:00 mennessä Webropol-
ilmoittautumislomakkeen kautta (kopioi linkki selaimeen): https://link.webropolsurveys.com/S/018AD351BB78AFC7
Markkinavuoropuhelu ja siinä annetut tiedot eivät sido ketään siihen osallistuvaa tahoa, eikä</t>
        </is>
      </c>
      <c r="G92" s="2" t="n">
        <v>64270</v>
      </c>
      <c r="H92" s="2" t="n">
        <v>0</v>
      </c>
      <c r="I92" s="2" t="n">
        <v>0</v>
      </c>
      <c r="J92" s="2" t="n">
        <v>0</v>
      </c>
      <c r="K92" s="2" t="n"/>
      <c r="L92" s="2" t="inlineStr"/>
      <c r="M92" s="2" t="inlineStr"/>
      <c r="N92" s="2" t="inlineStr">
        <is>
          <t>Lithuania</t>
        </is>
      </c>
      <c r="O92" s="7" t="n">
        <v>594.5</v>
      </c>
      <c r="P92" s="2" t="n">
        <v>35</v>
      </c>
      <c r="Q92" s="2" t="n"/>
    </row>
    <row r="93">
      <c r="A93" s="2" t="inlineStr">
        <is>
          <t>Statybunaujienos.lt - LSIS kongrese – nauja vadovybė, augantis susidomėjimas inžinerijos studijomis ir teisėkūros lūkesčiai</t>
        </is>
      </c>
      <c r="B93" s="2">
        <f>HYPERLINK("https://www.statybunaujienos.lt/naujiena/LSIS-kongrese-nauja-vadovybe-augantis-susidomejimas-inzinerijos-studijomis-ir-teisekuros-lukesciai/26029")</f>
        <v/>
      </c>
      <c r="C93" s="2" t="inlineStr"/>
      <c r="D93" s="2" t="inlineStr">
        <is>
          <t>statybunaujienos.lt</t>
        </is>
      </c>
      <c r="E93" s="8" t="n">
        <v>46055.44289351852</v>
      </c>
      <c r="F93" s="2" t="inlineStr">
        <is>
          <t>„EIKA Development“, pardavusi 94 butus, užėmė rekordiškai didelę – 15 proc. – rinkos dalį.</t>
        </is>
      </c>
      <c r="G93" s="2" t="n">
        <v>5370</v>
      </c>
      <c r="H93" s="2" t="n">
        <v>0</v>
      </c>
      <c r="I93" s="2" t="n">
        <v>0</v>
      </c>
      <c r="J93" s="2" t="n">
        <v>0</v>
      </c>
      <c r="K93" s="2" t="n"/>
      <c r="L93" s="2" t="inlineStr"/>
      <c r="M93" s="2" t="inlineStr"/>
      <c r="N93" s="2" t="inlineStr">
        <is>
          <t>Lithuania</t>
        </is>
      </c>
      <c r="O93" s="7" t="n">
        <v>49.67</v>
      </c>
      <c r="P93" s="2" t="n">
        <v>27</v>
      </c>
      <c r="Q93" s="2" t="n"/>
    </row>
    <row r="94">
      <c r="A94" s="2" t="inlineStr">
        <is>
          <t>„EIKA Development“: per mėnesį butų pardavimai Vilniuje išaugo 31 proc.</t>
        </is>
      </c>
      <c r="B94" s="2">
        <f>HYPERLINK("https://www.delfi.lt/projektai/elta/eika-development-per-menesi-butu-pardavimai-vilniuje-isaugo-31-proc-120206610")</f>
        <v/>
      </c>
      <c r="C94" s="2" t="inlineStr"/>
      <c r="D94" s="2" t="inlineStr">
        <is>
          <t>DELFI Lithuania</t>
        </is>
      </c>
      <c r="E94" s="8" t="n">
        <v>46055.41510416667</v>
      </c>
      <c r="F94" s="2" t="inlineStr">
        <is>
          <t>„Naujųjų metų pradžia nenustebino – toliau tęsiasi visus 2025-uosius buvusi tendencija, kad Vilniaus NT rinka po ankstesnio sąstingio atsigavo ir yra itin karšta“, – pranešime teigia „EIKA Development“ plėtros direktorius Tomas Žiaugra.</t>
        </is>
      </c>
      <c r="G94" s="2" t="n">
        <v>1878795</v>
      </c>
      <c r="H94" s="2" t="n"/>
      <c r="I94" s="2" t="n"/>
      <c r="J94" s="2" t="n"/>
      <c r="K94" s="2" t="n"/>
      <c r="L94" s="2" t="inlineStr">
        <is>
          <t>Vilnius</t>
        </is>
      </c>
      <c r="M94" s="2" t="inlineStr"/>
      <c r="N94" s="2" t="inlineStr">
        <is>
          <t>Lithuania</t>
        </is>
      </c>
      <c r="O94" s="7" t="n">
        <v>9393.98</v>
      </c>
      <c r="P94" s="2" t="n">
        <v>82</v>
      </c>
      <c r="Q94" s="2" t="n"/>
    </row>
    <row r="95">
      <c r="A95" s="2" t="inlineStr">
        <is>
          <t>Statybunaujienos.lt - Nauja era energetikoje: Lietuvos saulės energetikos asociacija plečia pavadinimą ir veiklos kryptį</t>
        </is>
      </c>
      <c r="B95" s="2">
        <f>HYPERLINK("https://www.statybunaujienos.lt/naujiena/Nauja-era-energetikoje-Lietuvos-saules-energetikos-asociacija-plecia-pavadinima-ir-veiklos-krypti/26025")</f>
        <v/>
      </c>
      <c r="C95" s="2" t="inlineStr"/>
      <c r="D95" s="2" t="inlineStr">
        <is>
          <t>statybunaujienos.lt</t>
        </is>
      </c>
      <c r="E95" s="8" t="n">
        <v>46055.34410879629</v>
      </c>
      <c r="F95" s="2" t="inlineStr">
        <is>
          <t>„EIKA Development“, pardavusi 94 butus, užėmė rekordiškai didelę – 15 proc. – rinkos dalį.</t>
        </is>
      </c>
      <c r="G95" s="2" t="n">
        <v>5370</v>
      </c>
      <c r="H95" s="2" t="n">
        <v>0</v>
      </c>
      <c r="I95" s="2" t="n">
        <v>0</v>
      </c>
      <c r="J95" s="2" t="n">
        <v>0</v>
      </c>
      <c r="K95" s="2" t="n"/>
      <c r="L95" s="2" t="inlineStr"/>
      <c r="M95" s="2" t="inlineStr"/>
      <c r="N95" s="2" t="inlineStr">
        <is>
          <t>Lithuania</t>
        </is>
      </c>
      <c r="O95" s="7" t="n">
        <v>49.67</v>
      </c>
      <c r="P95" s="2" t="n">
        <v>27</v>
      </c>
      <c r="Q95" s="2" t="n"/>
    </row>
    <row r="96">
      <c r="A96" s="2" t="inlineStr">
        <is>
          <t>Statybunaujienos.lt - Energijos išteklių kainų šuolis Lietuvoje: brango elektra, dujos ir biokuras</t>
        </is>
      </c>
      <c r="B96" s="2">
        <f>HYPERLINK("https://www.statybunaujienos.lt/naujiena/Energijos-istekliu-kainu-suolis-Lietuvoje-brango-elektra-dujos-ir-biokuras/26023")</f>
        <v/>
      </c>
      <c r="C96" s="2" t="inlineStr"/>
      <c r="D96" s="2" t="inlineStr">
        <is>
          <t>statybunaujienos.lt</t>
        </is>
      </c>
      <c r="E96" s="8" t="n">
        <v>46055.31770833334</v>
      </c>
      <c r="F96" s="2" t="inlineStr">
        <is>
          <t>„EIKA Development“, pardavusi 94 butus, užėmė rekordiškai didelę – 15 proc. – rinkos dalį.</t>
        </is>
      </c>
      <c r="G96" s="2" t="n">
        <v>5370</v>
      </c>
      <c r="H96" s="2" t="n">
        <v>0</v>
      </c>
      <c r="I96" s="2" t="n">
        <v>0</v>
      </c>
      <c r="J96" s="2" t="n">
        <v>1</v>
      </c>
      <c r="K96" s="2" t="n"/>
      <c r="L96" s="2" t="inlineStr"/>
      <c r="M96" s="2" t="inlineStr"/>
      <c r="N96" s="2" t="inlineStr">
        <is>
          <t>Lithuania</t>
        </is>
      </c>
      <c r="O96" s="7" t="n">
        <v>49.67</v>
      </c>
      <c r="P96" s="2" t="n">
        <v>27</v>
      </c>
      <c r="Q96" s="2" t="n"/>
    </row>
    <row r="97">
      <c r="A97" s="2" t="inlineStr">
        <is>
          <t>Statybunaujienos.lt - „EIKA Development“. 2026-ieji metai Vilniaus NT rinkoje prasidėjo intensyviai</t>
        </is>
      </c>
      <c r="B97" s="2">
        <f>HYPERLINK("https://www.statybunaujienos.lt/naujiena/EIKA-Development-2026-ieji-metai-Vilniaus-NT-rinkoje-prasidejo-intensyviai/26020")</f>
        <v/>
      </c>
      <c r="C97" s="2" t="inlineStr"/>
      <c r="D97" s="2" t="inlineStr">
        <is>
          <t>statybunaujienos.lt</t>
        </is>
      </c>
      <c r="E97" s="8" t="n">
        <v>46055.15685185185</v>
      </c>
      <c r="F97" s="2" t="inlineStr">
        <is>
          <t>„EIKA Development“, pardavusi 94 butus, užėmė rekordiškai didelę – 15 proc. – rinkos dalį. Tuo pat metu fiksuojamas ir pasiūlos mažėjimas: šių metų sausį butų pasiūla Vilniuje buvo 12 proc. mažesnė nei prieš metus.
„EIKA Development“ nuotr.</t>
        </is>
      </c>
      <c r="G97" s="2" t="n">
        <v>5370</v>
      </c>
      <c r="H97" s="2" t="n">
        <v>0</v>
      </c>
      <c r="I97" s="2" t="n">
        <v>0</v>
      </c>
      <c r="J97" s="2" t="n">
        <v>0</v>
      </c>
      <c r="K97" s="2" t="n"/>
      <c r="L97" s="2" t="inlineStr"/>
      <c r="M97" s="2" t="inlineStr"/>
      <c r="N97" s="2" t="inlineStr">
        <is>
          <t>Lithuania</t>
        </is>
      </c>
      <c r="O97" s="7" t="n">
        <v>49.67</v>
      </c>
      <c r="P97" s="2" t="n">
        <v>27</v>
      </c>
      <c r="Q97" s="2" t="n"/>
    </row>
    <row r="98">
      <c r="A98" s="2" t="inlineStr">
        <is>
          <t>„EIKA Development“ sausį užėmė rekordiškai aukštą rinkos dalį: rinka - itin intensyvi, pasiūla mažėja</t>
        </is>
      </c>
      <c r="B98" s="2">
        <f>HYPERLINK("https://sc.bns.lt/view/item/eika-development-sausi-uzeme-rekordiskai-auksta-rinkos-dali-rinka-itin-intensyvi-pasiula-mazeja-523218")</f>
        <v/>
      </c>
      <c r="C98" s="2" t="inlineStr"/>
      <c r="D98" s="2" t="inlineStr">
        <is>
          <t>Baltic News Service (Lithuania)</t>
        </is>
      </c>
      <c r="E98" s="8" t="n">
        <v>46055.12944444444</v>
      </c>
      <c r="F98" s="2" t="inlineStr">
        <is>
          <t>„EIKA Development“, pardavusi 94 butus, užėmė rekordiškai didelę, 15 proc. rinkos dalį. Vertinant NT pasiūlą, pastebimas jos mažėjimas – šių metų sausį butų pasiūla Vilniuje buvo 12 proc. mažesnė nei pernai.</t>
        </is>
      </c>
      <c r="G98" s="2" t="n">
        <v>32397</v>
      </c>
      <c r="H98" s="2" t="n">
        <v>0</v>
      </c>
      <c r="I98" s="2" t="n">
        <v>0</v>
      </c>
      <c r="J98" s="2" t="n">
        <v>0</v>
      </c>
      <c r="K98" s="2" t="n"/>
      <c r="L98" s="2" t="inlineStr">
        <is>
          <t>Vilnius</t>
        </is>
      </c>
      <c r="M98" s="2" t="inlineStr"/>
      <c r="N98" s="2" t="inlineStr">
        <is>
          <t>Lithuania</t>
        </is>
      </c>
      <c r="O98" s="7" t="n">
        <v>299.67</v>
      </c>
      <c r="P98" s="2" t="n">
        <v>55</v>
      </c>
      <c r="Q98" s="2" t="n"/>
    </row>
    <row r="99">
      <c r="A99" s="2" t="inlineStr">
        <is>
          <t>„EIKA Development“ sausį užėmė rekordiškai aukštą rinkos dalį: rinka - itin intensyvi, pasiūla mažėja</t>
        </is>
      </c>
      <c r="B99" s="2">
        <f>HYPERLINK("https://www.15min.lt/verslas/naujiena/bns-spaudos-centras/eika-development-sausi-uzeme-rekordiskai-auksta-rinkos-dali-rinka-itin-intensyvi-pasiula-mazeja-523218")</f>
        <v/>
      </c>
      <c r="C99" s="2" t="inlineStr"/>
      <c r="D99" s="2" t="inlineStr">
        <is>
          <t>15min</t>
        </is>
      </c>
      <c r="E99" s="8" t="n">
        <v>46055.12704861111</v>
      </c>
      <c r="F99" s="2" t="inlineStr">
        <is>
          <t>„EIKA Development“ duomenimis, pirmąjį 2026-ųjų metų mėnesį Vilniuje buvo parduota 619 butų, kai, palyginimui, gruodį, jų buvo parduota 470.</t>
        </is>
      </c>
      <c r="G99" s="2" t="n">
        <v>1426746</v>
      </c>
      <c r="H99" s="2" t="n"/>
      <c r="I99" s="2" t="n"/>
      <c r="J99" s="2" t="n"/>
      <c r="K99" s="2" t="n"/>
      <c r="L99" s="2" t="inlineStr">
        <is>
          <t>Vilnius</t>
        </is>
      </c>
      <c r="M99" s="2" t="inlineStr">
        <is>
          <t>Vilniaus Apskritis</t>
        </is>
      </c>
      <c r="N99" s="2" t="inlineStr">
        <is>
          <t>Lithuania</t>
        </is>
      </c>
      <c r="O99" s="7" t="n">
        <v>13197.4</v>
      </c>
      <c r="P99" s="2" t="n">
        <v>73</v>
      </c>
      <c r="Q99" s="2" t="n"/>
    </row>
    <row r="100">
      <c r="A100" s="2" t="inlineStr">
        <is>
          <t>„EIKA Development“ sausį užėmė rekordiškai aukštą rinkos dalį: rinka – itin intensyvi, pasiūla mažėja</t>
        </is>
      </c>
      <c r="B100" s="2">
        <f>HYPERLINK("https://www.elta.lt/lt/pranesimai-spaudai/eika-development-sausi-uzeme-rekordiskai-auksta-rinkos-dali-rinka-itin-intensyvi-pasiula-mazeja-261239")</f>
        <v/>
      </c>
      <c r="C100" s="2" t="inlineStr"/>
      <c r="D100" s="2" t="inlineStr">
        <is>
          <t>elta.lt</t>
        </is>
      </c>
      <c r="E100" s="8" t="n">
        <v>46055</v>
      </c>
      <c r="F100" s="2" t="inlineStr">
        <is>
          <t>„EIKA Development“, pardavusi 94 butus, užėmė rekordiškai didelę, 15 proc. rinkos dalį. Vertinant NT pasiūlą, pastebimas jos mažėjimas – šių metų sausį butų pasiūla Vilniuje buvo 12 proc. mažesnė nei pernai.</t>
        </is>
      </c>
      <c r="G100" s="2" t="n">
        <v>9121</v>
      </c>
      <c r="H100" s="2" t="n"/>
      <c r="I100" s="2" t="n"/>
      <c r="J100" s="2" t="n"/>
      <c r="K100" s="2" t="n"/>
      <c r="L100" s="2" t="inlineStr"/>
      <c r="M100" s="2" t="inlineStr"/>
      <c r="N100" s="2" t="inlineStr">
        <is>
          <t>Lithuania</t>
        </is>
      </c>
      <c r="O100" s="7" t="n">
        <v>84.37</v>
      </c>
      <c r="P100" s="2" t="n">
        <v>44</v>
      </c>
      <c r="Q10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2026-03-02T08:08:43Z</dcterms:created>
  <dcterms:modified xmlns:dcterms="http://purl.org/dc/terms/" xmlns:xsi="http://www.w3.org/2001/XMLSchema-instance" xsi:type="dcterms:W3CDTF">2026-03-02T08:08:43Z</dcterms:modified>
</cp:coreProperties>
</file>